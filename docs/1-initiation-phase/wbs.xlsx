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Tiến độ" sheetId="2" state="visible" r:id="rId4"/>
    <sheet name="Cấu trúc repo" sheetId="3" state="visible" r:id="rId5"/>
  </sheets>
  <definedNames>
    <definedName function="false" hidden="true" localSheetId="0" name="_xlnm._FilterDatabase" vbProcedure="false">WBS!$A$1:$I$44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<sst xmlns="http://schemas.openxmlformats.org/spreadsheetml/2006/main" count="338" uniqueCount="212">
  <si>
    <t xml:space="preserve">Giai đoạn (Phase)</t>
  </si>
  <si>
    <t xml:space="preserve">Tên công việc (Task Name)</t>
  </si>
  <si>
    <t xml:space="preserve">Mô tả (Description)</t>
  </si>
  <si>
    <t xml:space="preserve">Người thực hiện (Assignee)</t>
  </si>
  <si>
    <t xml:space="preserve">Trạng thái (Status)</t>
  </si>
  <si>
    <t xml:space="preserve">Thành phẩm (Deliverables)</t>
  </si>
  <si>
    <t xml:space="preserve">Ngày bắt đầu (Start Date)</t>
  </si>
  <si>
    <t xml:space="preserve">Ngày kết thúc (End Date)</t>
  </si>
  <si>
    <t xml:space="preserve">Độ ưu tiên (Priority)</t>
  </si>
  <si>
    <t xml:space="preserve">Phase 1: Khởi động dự án</t>
  </si>
  <si>
    <t xml:space="preserve">1.1</t>
  </si>
  <si>
    <t xml:space="preserve">Chọn đề tài và kịch bản demo</t>
  </si>
  <si>
    <t xml:space="preserve">Chốt Bài 01 (SSI) và kịch bản cấp, xác minh bằng tốt nghiệp: Trường → Sinh viên → Nhà tuyển dụng</t>
  </si>
  <si>
    <t xml:space="preserve">Cả nhóm</t>
  </si>
  <si>
    <t xml:space="preserve">Đã hoàn thành</t>
  </si>
  <si>
    <t xml:space="preserve">Đề tài, kịch bản demo</t>
  </si>
  <si>
    <t xml:space="preserve">Cao</t>
  </si>
  <si>
    <t xml:space="preserve">1.2</t>
  </si>
  <si>
    <t xml:space="preserve">Chọn công nghệ</t>
  </si>
  <si>
    <t xml:space="preserve">Solidity 0.8.x, OpenZeppelin 5.x, Hardhat, Web3.py, cryptography, Kubo (IPFS), Streamlit, Sepolia</t>
  </si>
  <si>
    <t xml:space="preserve">Đang thực hiện</t>
  </si>
  <si>
    <t xml:space="preserve">Danh sách công nghệ, phiên bản cố định</t>
  </si>
  <si>
    <t xml:space="preserve">1.3</t>
  </si>
  <si>
    <t xml:space="preserve">Chốt phạm vi và mục tiêu</t>
  </si>
  <si>
    <t xml:space="preserve">Khóa 12 chức năng kỹ thuật + 1 hạng mục báo cáo; những phần ngoài phạm vi chỉ nhắc ngắn</t>
  </si>
  <si>
    <t xml:space="preserve">Mục 0 của outline bản 3</t>
  </si>
  <si>
    <t xml:space="preserve">1.4</t>
  </si>
  <si>
    <t xml:space="preserve">Phân công và quy ước làm việc</t>
  </si>
  <si>
    <t xml:space="preserve">Chia 4 mảng (contract, IPFS và mã hóa, Web3.py và giao diện, kiểm thử và tài liệu); họp hằng tuần; quy tắc Git</t>
  </si>
  <si>
    <t xml:space="preserve">Thành viên D</t>
  </si>
  <si>
    <t xml:space="preserve">Chưa bắt đầu</t>
  </si>
  <si>
    <t xml:space="preserve">Bảng phân công, quy ước nhánh và commit</t>
  </si>
  <si>
    <t xml:space="preserve">Trung bình</t>
  </si>
  <si>
    <t xml:space="preserve">1.5</t>
  </si>
  <si>
    <t xml:space="preserve">Hiến chương dự án</t>
  </si>
  <si>
    <t xml:space="preserve">Mục tiêu, phạm vi, thành phẩm, vai trò, rủi ro chính</t>
  </si>
  <si>
    <t xml:space="preserve">docs/1-initiation-phase/project-charter.md</t>
  </si>
  <si>
    <t xml:space="preserve">Phase 2: Phân tích &amp; Thiết kế</t>
  </si>
  <si>
    <t xml:space="preserve">2.1</t>
  </si>
  <si>
    <t xml:space="preserve">Tạo WBS và kế hoạch</t>
  </si>
  <si>
    <t xml:space="preserve">Bảng công việc theo giai đoạn, người phụ trách, mốc thời gian</t>
  </si>
  <si>
    <t xml:space="preserve">File WBS này</t>
  </si>
  <si>
    <t xml:space="preserve">2.2</t>
  </si>
  <si>
    <t xml:space="preserve">Tài liệu phân tích yêu cầu chức năng</t>
  </si>
  <si>
    <t xml:space="preserve">Đối chiếu đề bài và rubric 5 tiêu chí với danh sách yêu cầu chức năng</t>
  </si>
  <si>
    <t xml:space="preserve">docs/2-planning-phase/requirements.md</t>
  </si>
  <si>
    <t xml:space="preserve">2.3</t>
  </si>
  <si>
    <t xml:space="preserve">Thiết kế kiến trúc tổng thể</t>
  </si>
  <si>
    <t xml:space="preserve">Use case 3 vai trò, kiến trúc dashboard – Web3.py – contract – Sepolia – IPFS, dữ liệu on-chain và off-chain</t>
  </si>
  <si>
    <t xml:space="preserve">Thành viên A</t>
  </si>
  <si>
    <t xml:space="preserve">docs/2-planning-phase/architecture.md</t>
  </si>
  <si>
    <t xml:space="preserve">2.4</t>
  </si>
  <si>
    <t xml:space="preserve">Thiết kế smart contract và trạng thái</t>
  </si>
  <si>
    <t xml:space="preserve">SSIRegistry, IdentitySBT, GatedService; trạng thái credential; ràng buộc require; đặc tả chữ ký Issuer</t>
  </si>
  <si>
    <t xml:space="preserve">docs/2-planning-phase/contracts-spec.md</t>
  </si>
  <si>
    <t xml:space="preserve">2.5</t>
  </si>
  <si>
    <t xml:space="preserve">Thiết kế mã hóa và quản lý khóa</t>
  </si>
  <si>
    <t xml:space="preserve">AES-256-GCM, RSA-OAEP, consent kèm khóa bọc, lưu và khôi phục khóa</t>
  </si>
  <si>
    <t xml:space="preserve">Thành viên B</t>
  </si>
  <si>
    <t xml:space="preserve">docs/2-planning-phase/key-management.md</t>
  </si>
  <si>
    <t xml:space="preserve">2.6</t>
  </si>
  <si>
    <t xml:space="preserve">Chốt giao diện chung giữa các mảng</t>
  </si>
  <si>
    <t xml:space="preserve">Tên hàm, tham số, kiểu dữ liệu, định dạng gói khóa bọc, thông điệp Issuer ký</t>
  </si>
  <si>
    <t xml:space="preserve">docs/2-planning-phase/interfaces.md</t>
  </si>
  <si>
    <t xml:space="preserve">2.7</t>
  </si>
  <si>
    <t xml:space="preserve">Thiết kế giao diện người dùng</t>
  </si>
  <si>
    <t xml:space="preserve">Wireframe 3 dashboard: Issuer, User, Verifier</t>
  </si>
  <si>
    <t xml:space="preserve">Thành viên C</t>
  </si>
  <si>
    <t xml:space="preserve">Wireframe 3 dashboard</t>
  </si>
  <si>
    <t xml:space="preserve">2.8</t>
  </si>
  <si>
    <t xml:space="preserve">Đóng băng thiết kế</t>
  </si>
  <si>
    <t xml:space="preserve">Kiểm tra 7 mục checklist trước triển khai</t>
  </si>
  <si>
    <t xml:space="preserve">Biên bản đóng băng thiết kế</t>
  </si>
  <si>
    <t xml:space="preserve">Phase 3: Triển khai &amp; Tích hợp</t>
  </si>
  <si>
    <t xml:space="preserve">3.1</t>
  </si>
  <si>
    <t xml:space="preserve">Cài đặt môi trường phát triển</t>
  </si>
  <si>
    <t xml:space="preserve">Repo, .gitignore, .env.example, Hardhat, Kubo, Streamlit, RPC và test ETH Sepolia (ví testnet riêng)</t>
  </si>
  <si>
    <t xml:space="preserve">Môi trường chạy được trên máy mỗi thành viên</t>
  </si>
  <si>
    <t xml:space="preserve">3.2</t>
  </si>
  <si>
    <t xml:space="preserve">Smart contract SSIRegistry</t>
  </si>
  <si>
    <t xml:space="preserve">registerKey, createDID, requestCredential, issueCredential kèm chữ ký, verifyCredential, revokeCredential, phân quyền</t>
  </si>
  <si>
    <t xml:space="preserve">contracts/SSIRegistry.sol</t>
  </si>
  <si>
    <t xml:space="preserve">3.3</t>
  </si>
  <si>
    <t xml:space="preserve">Consent trong contract</t>
  </si>
  <si>
    <t xml:space="preserve">grantConsent kèm khóa bọc, revokeConsent, hasAccess</t>
  </si>
  <si>
    <t xml:space="preserve">Hàm consent trong SSIRegistry</t>
  </si>
  <si>
    <t xml:space="preserve">3.4</t>
  </si>
  <si>
    <t xml:space="preserve">IdentitySBT và GatedService</t>
  </si>
  <si>
    <t xml:space="preserve">Mint, burn khi thu hồi, chặn chuyển nhượng, dịch vụ token-gated</t>
  </si>
  <si>
    <t xml:space="preserve">contracts/IdentitySBT.sol, GatedService.sol</t>
  </si>
  <si>
    <t xml:space="preserve">3.5</t>
  </si>
  <si>
    <t xml:space="preserve">Mô-đun mã hóa và ký</t>
  </si>
  <si>
    <t xml:space="preserve">AES-GCM, RSA-OAEP, bọc và giải khóa, ký thông điệp Issuer</t>
  </si>
  <si>
    <t xml:space="preserve">crypto/ module kèm test</t>
  </si>
  <si>
    <t xml:space="preserve">3.6</t>
  </si>
  <si>
    <t xml:space="preserve">Tích hợp IPFS</t>
  </si>
  <si>
    <t xml:space="preserve">Upload và retrieve 3 file mã hóa qua Kubo, kiểm tra toàn vẹn</t>
  </si>
  <si>
    <t xml:space="preserve">ipfs/ module</t>
  </si>
  <si>
    <t xml:space="preserve">3.7</t>
  </si>
  <si>
    <t xml:space="preserve">Lớp Web3.py</t>
  </si>
  <si>
    <t xml:space="preserve">Nạp ABI, ký và gửi giao dịch, chờ receipt, đọc trạng thái</t>
  </si>
  <si>
    <t xml:space="preserve">web3_client/ module</t>
  </si>
  <si>
    <t xml:space="preserve">3.8</t>
  </si>
  <si>
    <t xml:space="preserve">Giao diện 3 dashboard</t>
  </si>
  <si>
    <t xml:space="preserve">Issuer, User, Verifier bằng Streamlit; xử lý lỗi hiển thị</t>
  </si>
  <si>
    <t xml:space="preserve">app/ Streamlit</t>
  </si>
  <si>
    <t xml:space="preserve">3.9</t>
  </si>
  <si>
    <t xml:space="preserve">Tích hợp end-to-end trên chain local</t>
  </si>
  <si>
    <t xml:space="preserve">Chạy trọn luồng 12 chức năng kỹ thuật</t>
  </si>
  <si>
    <t xml:space="preserve">Demo end-to-end local</t>
  </si>
  <si>
    <t xml:space="preserve">3.10</t>
  </si>
  <si>
    <t xml:space="preserve">Triển khai Sepolia</t>
  </si>
  <si>
    <t xml:space="preserve">Deploy 3 contract, verify mã nguồn Etherscan, chạy lại luồng trên Sepolia</t>
  </si>
  <si>
    <t xml:space="preserve">Địa chỉ contract, hash giao dịch</t>
  </si>
  <si>
    <t xml:space="preserve">Phase 4: Đo kiểm &amp; Giám sát</t>
  </si>
  <si>
    <t xml:space="preserve">4.1</t>
  </si>
  <si>
    <t xml:space="preserve">Viết test plan và test case</t>
  </si>
  <si>
    <t xml:space="preserve">Ca hợp lệ và không hợp lệ cho từng ràng buộc, consent, SBT, thu hồi</t>
  </si>
  <si>
    <t xml:space="preserve">docs/4-testing-phase/test-plan.md</t>
  </si>
  <si>
    <t xml:space="preserve">4.2</t>
  </si>
  <si>
    <t xml:space="preserve">Unit test smart contract</t>
  </si>
  <si>
    <t xml:space="preserve">Test trong lúc phát triển, mỗi require có ca thành công và ca revert</t>
  </si>
  <si>
    <t xml:space="preserve">tests/contracts/</t>
  </si>
  <si>
    <t xml:space="preserve">4.3</t>
  </si>
  <si>
    <t xml:space="preserve">Integration test</t>
  </si>
  <si>
    <t xml:space="preserve">pytest + Web3.py trên chain local, kiểm tra luồng giữa contract, IPFS, mã hóa</t>
  </si>
  <si>
    <t xml:space="preserve">tests/integration/</t>
  </si>
  <si>
    <t xml:space="preserve">4.4</t>
  </si>
  <si>
    <t xml:space="preserve">Kiểm thử chức năng trên Sepolia</t>
  </si>
  <si>
    <t xml:space="preserve">Chạy kịch bản demo, thu hash giao dịch và ảnh chụp minh chứng</t>
  </si>
  <si>
    <t xml:space="preserve">Bảng kết quả kiểm thử, minh chứng</t>
  </si>
  <si>
    <t xml:space="preserve">4.5</t>
  </si>
  <si>
    <t xml:space="preserve">Kiểm thử bảo mật, RBAC và consent</t>
  </si>
  <si>
    <t xml:space="preserve">Ví thường issue, Issuer khác thu hồi, Verifier không consent, nonce AES-GCM</t>
  </si>
  <si>
    <t xml:space="preserve">Kết quả kiểm thử bảo mật</t>
  </si>
  <si>
    <t xml:space="preserve">4.6</t>
  </si>
  <si>
    <t xml:space="preserve">Đánh giá tiến độ giữa kỳ</t>
  </si>
  <si>
    <t xml:space="preserve">Rà soát mốc cuối tuần 4: chạy được 12 chức năng trên chain local</t>
  </si>
  <si>
    <t xml:space="preserve">Biên bản họp, danh sách việc tồn</t>
  </si>
  <si>
    <t xml:space="preserve">4.7</t>
  </si>
  <si>
    <t xml:space="preserve">Báo cáo kiểm thử</t>
  </si>
  <si>
    <t xml:space="preserve">Tổng hợp kết quả, lỗi đã sửa, hạn chế</t>
  </si>
  <si>
    <t xml:space="preserve">Chương 5 của báo cáo</t>
  </si>
  <si>
    <t xml:space="preserve">4.8</t>
  </si>
  <si>
    <t xml:space="preserve">Sửa lỗi và đóng băng mã nguồn</t>
  </si>
  <si>
    <t xml:space="preserve">Chỉ sửa lỗi, không thêm tính năng</t>
  </si>
  <si>
    <t xml:space="preserve">Tag phiên bản cuối trên Git</t>
  </si>
  <si>
    <t xml:space="preserve">Phase 5: Báo cáo &amp; Nghiệm thu</t>
  </si>
  <si>
    <t xml:space="preserve">5.1</t>
  </si>
  <si>
    <t xml:space="preserve">Viết báo cáo theo outline bản 3</t>
  </si>
  <si>
    <t xml:space="preserve">Mỗi người viết phần của mảng mình, D hợp nhất và định dạng</t>
  </si>
  <si>
    <t xml:space="preserve">Báo cáo Word hoàn chỉnh</t>
  </si>
  <si>
    <t xml:space="preserve">5.2</t>
  </si>
  <si>
    <t xml:space="preserve">Làm slide thuyết trình</t>
  </si>
  <si>
    <t xml:space="preserve">Chữ lớn hơn 18 pt, có số slide, caption, tương phản</t>
  </si>
  <si>
    <t xml:space="preserve">File slide</t>
  </si>
  <si>
    <t xml:space="preserve">5.3</t>
  </si>
  <si>
    <t xml:space="preserve">Quay video demo có caption</t>
  </si>
  <si>
    <t xml:space="preserve">Video dự phòng, bắt buộc có caption</t>
  </si>
  <si>
    <t xml:space="preserve">Video demo</t>
  </si>
  <si>
    <t xml:space="preserve">5.4</t>
  </si>
  <si>
    <t xml:space="preserve">Soát lỗi và quy ước trình bày</t>
  </si>
  <si>
    <t xml:space="preserve">Chính tả, caption, bảng viết tắt, tài liệu tham khảo, cỡ chữ Word lớn hơn 14 pt, số trang</t>
  </si>
  <si>
    <t xml:space="preserve">Bản báo cáo đã soát</t>
  </si>
  <si>
    <t xml:space="preserve">5.5</t>
  </si>
  <si>
    <t xml:space="preserve">Đóng gói mã nguồn và tài liệu repo</t>
  </si>
  <si>
    <t xml:space="preserve">README, hướng dẫn chạy, cấu trúc thư mục docs</t>
  </si>
  <si>
    <t xml:space="preserve">Repo hoàn chỉnh</t>
  </si>
  <si>
    <t xml:space="preserve">5.6</t>
  </si>
  <si>
    <t xml:space="preserve">Luyện demo và chuẩn bị phản biện</t>
  </si>
  <si>
    <t xml:space="preserve">Chạy thử nhiều lần, chuẩn bị câu trả lời về consent, RBAC, giới hạn hệ thống</t>
  </si>
  <si>
    <t xml:space="preserve">Kịch bản demo, danh sách câu hỏi</t>
  </si>
  <si>
    <t xml:space="preserve">5.7</t>
  </si>
  <si>
    <t xml:space="preserve">Nộp bài và bảo vệ</t>
  </si>
  <si>
    <t xml:space="preserve">Nộp báo cáo, slide, mã nguồn, video</t>
  </si>
  <si>
    <t xml:space="preserve">Sản phẩm nộp</t>
  </si>
  <si>
    <t xml:space="preserve">Ghi chú:</t>
  </si>
  <si>
    <t xml:space="preserve">- Ngày giả định: bắt đầu 17/10/2026 (khởi động) và 19/10/2026 (tuần 1), kết thúc 13/12/2026 (hết tuần 8). Đối chiếu với hạn nộp thật của giảng viên rồi chỉnh các cột ngày.</t>
  </si>
  <si>
    <t xml:space="preserve">- Thành viên A, B, C, D là tên giữ chỗ: A phụ trách smart contract, B phụ trách IPFS và mã hóa, C phụ trách Web3.py và giao diện, D phụ trách kiểm thử, tài liệu và hợp nhất báo cáo. Thay bằng tên thật ở cột D.</t>
  </si>
  <si>
    <t xml:space="preserve">- Trạng thái ban đầu: 1.1 và 1.3 đã hoàn thành, 1.2 đang chờ nhóm xác nhận, còn lại chưa bắt đầu. Cột Trạng thái, Ngày của dòng Phase được tính tự động từ các công việc con; chỉ sửa ở dòng công việc.</t>
  </si>
  <si>
    <t xml:space="preserve">- Các tên file trong cột Thành phẩm là gợi ý cấu trúc repo (xem sheet Cấu trúc repo).</t>
  </si>
  <si>
    <t xml:space="preserve">Giai đoạn</t>
  </si>
  <si>
    <t xml:space="preserve">Số công việc</t>
  </si>
  <si>
    <t xml:space="preserve">Tỷ lệ hoàn thành</t>
  </si>
  <si>
    <t xml:space="preserve">Tổng</t>
  </si>
  <si>
    <t xml:space="preserve">Số liệu tự tính từ sheet WBS (cột Trạng thái); không nhập tay.</t>
  </si>
  <si>
    <t xml:space="preserve">Đường dẫn</t>
  </si>
  <si>
    <t xml:space="preserve">Nội dung</t>
  </si>
  <si>
    <t xml:space="preserve">README.md</t>
  </si>
  <si>
    <t xml:space="preserve">Giới thiệu đề tài, thành viên, công nghệ, hướng dẫn chạy, liên kết tài liệu</t>
  </si>
  <si>
    <t xml:space="preserve">Chung</t>
  </si>
  <si>
    <t xml:space="preserve">Phase 1</t>
  </si>
  <si>
    <t xml:space="preserve">docs/1-initiation-phase/wbs.xlsx</t>
  </si>
  <si>
    <t xml:space="preserve">Bảng WBS này</t>
  </si>
  <si>
    <t xml:space="preserve">Phân tích yêu cầu chức năng</t>
  </si>
  <si>
    <t xml:space="preserve">Phase 2</t>
  </si>
  <si>
    <t xml:space="preserve">Kiến trúc tổng thể, sơ đồ</t>
  </si>
  <si>
    <t xml:space="preserve">Đặc tả 3 smart contract, trạng thái, chữ ký</t>
  </si>
  <si>
    <t xml:space="preserve">Mã hóa và quản lý khóa</t>
  </si>
  <si>
    <t xml:space="preserve">Giao diện chung giữa các mảng</t>
  </si>
  <si>
    <t xml:space="preserve">contracts/</t>
  </si>
  <si>
    <t xml:space="preserve">SSIRegistry.sol, IdentitySBT.sol, GatedService.sol</t>
  </si>
  <si>
    <t xml:space="preserve">Phase 3</t>
  </si>
  <si>
    <t xml:space="preserve">crypto/, ipfs/, web3_client/, app/</t>
  </si>
  <si>
    <t xml:space="preserve">Mô-đun mã hóa, IPFS, Web3.py, giao diện Streamlit</t>
  </si>
  <si>
    <t xml:space="preserve">Test plan và kết quả kiểm thử</t>
  </si>
  <si>
    <t xml:space="preserve">Phase 4</t>
  </si>
  <si>
    <t xml:space="preserve">tests/</t>
  </si>
  <si>
    <t xml:space="preserve">Unit test contract, integration test</t>
  </si>
  <si>
    <t xml:space="preserve">docs/5-closure-phase/</t>
  </si>
  <si>
    <t xml:space="preserve">Báo cáo, slide, video demo</t>
  </si>
  <si>
    <t xml:space="preserve">Phase 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</si>
</sst>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@"/>
    <numFmt numFmtId="167" formatCode="General"/>
    <numFmt numFmtId="168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4C7E7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ill>
        <patternFill>
          <bgColor rgb="FFEDEDED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B4C7E7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17"/>
    <col collapsed="false" customWidth="true" hidden="false" outlineLevel="0" max="6" min="6" style="0" width="36"/>
    <col collapsed="false" customWidth="true" hidden="false" outlineLevel="0" max="8" min="7" style="0" width="15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true" outlineLevel="0" collapsed="false">
      <c r="A2" s="2" t="s">
        <v>9</v>
      </c>
      <c r="B2" s="2"/>
      <c r="C2" s="2"/>
      <c r="D2" s="2"/>
      <c r="E2" s="3" t="str">
        <f aca="false">IF(COUNTIF(E3:E7,"Đã hoàn thành")=ROWS(E3:E7),"Đã hoàn thành",IF(COUNTIF(E3:E7,"Chưa bắt đầu")=ROWS(E3:E7),"Chưa bắt đầu","Đang thực hiện"))</f>
        <v>Đang thực hiện</v>
      </c>
      <c r="F2" s="3"/>
      <c r="G2" s="4" t="n">
        <f aca="false">MIN(G3:G7)</f>
        <v>46312</v>
      </c>
      <c r="H2" s="4" t="n">
        <f aca="false">MAX(H3:H7)</f>
        <v>46316</v>
      </c>
      <c r="I2" s="3"/>
    </row>
    <row r="3" customFormat="false" ht="23.85" hidden="false" customHeight="false" outlineLevel="0" collapsed="false">
      <c r="A3" s="5" t="s">
        <v>10</v>
      </c>
      <c r="B3" s="6" t="s">
        <v>11</v>
      </c>
      <c r="C3" s="6" t="s">
        <v>12</v>
      </c>
      <c r="D3" s="6" t="s">
        <v>13</v>
      </c>
      <c r="E3" s="7" t="s">
        <v>14</v>
      </c>
      <c r="F3" s="6" t="s">
        <v>15</v>
      </c>
      <c r="G3" s="8" t="n">
        <v>46312</v>
      </c>
      <c r="H3" s="8" t="n">
        <v>46313</v>
      </c>
      <c r="I3" s="7" t="s">
        <v>16</v>
      </c>
    </row>
    <row r="4" customFormat="false" ht="23.85" hidden="false" customHeight="false" outlineLevel="0" collapsed="false">
      <c r="A4" s="5" t="s">
        <v>17</v>
      </c>
      <c r="B4" s="6" t="s">
        <v>18</v>
      </c>
      <c r="C4" s="6" t="s">
        <v>19</v>
      </c>
      <c r="D4" s="6" t="s">
        <v>13</v>
      </c>
      <c r="E4" s="7" t="s">
        <v>20</v>
      </c>
      <c r="F4" s="6" t="s">
        <v>21</v>
      </c>
      <c r="G4" s="8" t="n">
        <v>46312</v>
      </c>
      <c r="H4" s="8" t="n">
        <v>46315</v>
      </c>
      <c r="I4" s="7" t="s">
        <v>16</v>
      </c>
    </row>
    <row r="5" customFormat="false" ht="23.85" hidden="false" customHeight="false" outlineLevel="0" collapsed="false">
      <c r="A5" s="5" t="s">
        <v>22</v>
      </c>
      <c r="B5" s="6" t="s">
        <v>23</v>
      </c>
      <c r="C5" s="6" t="s">
        <v>24</v>
      </c>
      <c r="D5" s="6" t="s">
        <v>13</v>
      </c>
      <c r="E5" s="7" t="s">
        <v>14</v>
      </c>
      <c r="F5" s="6" t="s">
        <v>25</v>
      </c>
      <c r="G5" s="8" t="n">
        <v>46312</v>
      </c>
      <c r="H5" s="8" t="n">
        <v>46314</v>
      </c>
      <c r="I5" s="7" t="s">
        <v>16</v>
      </c>
    </row>
    <row r="6" customFormat="false" ht="23.85" hidden="false" customHeight="false" outlineLevel="0" collapsed="false">
      <c r="A6" s="5" t="s">
        <v>26</v>
      </c>
      <c r="B6" s="6" t="s">
        <v>27</v>
      </c>
      <c r="C6" s="6" t="s">
        <v>28</v>
      </c>
      <c r="D6" s="6" t="s">
        <v>29</v>
      </c>
      <c r="E6" s="7" t="s">
        <v>30</v>
      </c>
      <c r="F6" s="6" t="s">
        <v>31</v>
      </c>
      <c r="G6" s="8" t="n">
        <v>46314</v>
      </c>
      <c r="H6" s="8" t="n">
        <v>46316</v>
      </c>
      <c r="I6" s="7" t="s">
        <v>32</v>
      </c>
    </row>
    <row r="7" customFormat="false" ht="15" hidden="false" customHeight="false" outlineLevel="0" collapsed="false">
      <c r="A7" s="5" t="s">
        <v>33</v>
      </c>
      <c r="B7" s="6" t="s">
        <v>34</v>
      </c>
      <c r="C7" s="6" t="s">
        <v>35</v>
      </c>
      <c r="D7" s="6" t="s">
        <v>29</v>
      </c>
      <c r="E7" s="7" t="s">
        <v>30</v>
      </c>
      <c r="F7" s="6" t="s">
        <v>36</v>
      </c>
      <c r="G7" s="8" t="n">
        <v>46314</v>
      </c>
      <c r="H7" s="8" t="n">
        <v>46316</v>
      </c>
      <c r="I7" s="7" t="s">
        <v>32</v>
      </c>
    </row>
    <row r="8" customFormat="false" ht="15" hidden="false" customHeight="true" outlineLevel="0" collapsed="false">
      <c r="A8" s="2" t="s">
        <v>37</v>
      </c>
      <c r="B8" s="2"/>
      <c r="C8" s="2"/>
      <c r="D8" s="2"/>
      <c r="E8" s="3" t="str">
        <f aca="false">IF(COUNTIF(E9:E16,"Đã hoàn thành")=ROWS(E9:E16),"Đã hoàn thành",IF(COUNTIF(E9:E16,"Chưa bắt đầu")=ROWS(E9:E16),"Chưa bắt đầu","Đang thực hiện"))</f>
        <v>Chưa bắt đầu</v>
      </c>
      <c r="F8" s="3"/>
      <c r="G8" s="4" t="n">
        <f aca="false">MIN(G9:G16)</f>
        <v>46314</v>
      </c>
      <c r="H8" s="4" t="n">
        <f aca="false">MAX(H9:H16)</f>
        <v>46320</v>
      </c>
      <c r="I8" s="3"/>
    </row>
    <row r="9" customFormat="false" ht="15" hidden="false" customHeight="false" outlineLevel="0" collapsed="false">
      <c r="A9" s="5" t="s">
        <v>38</v>
      </c>
      <c r="B9" s="6" t="s">
        <v>39</v>
      </c>
      <c r="C9" s="6" t="s">
        <v>40</v>
      </c>
      <c r="D9" s="6" t="s">
        <v>29</v>
      </c>
      <c r="E9" s="7" t="s">
        <v>30</v>
      </c>
      <c r="F9" s="6" t="s">
        <v>41</v>
      </c>
      <c r="G9" s="8" t="n">
        <v>46314</v>
      </c>
      <c r="H9" s="8" t="n">
        <v>46316</v>
      </c>
      <c r="I9" s="7" t="s">
        <v>32</v>
      </c>
    </row>
    <row r="10" customFormat="false" ht="23.85" hidden="false" customHeight="false" outlineLevel="0" collapsed="false">
      <c r="A10" s="5" t="s">
        <v>42</v>
      </c>
      <c r="B10" s="6" t="s">
        <v>43</v>
      </c>
      <c r="C10" s="6" t="s">
        <v>44</v>
      </c>
      <c r="D10" s="6" t="s">
        <v>29</v>
      </c>
      <c r="E10" s="7" t="s">
        <v>30</v>
      </c>
      <c r="F10" s="6" t="s">
        <v>45</v>
      </c>
      <c r="G10" s="8" t="n">
        <v>46314</v>
      </c>
      <c r="H10" s="8" t="n">
        <v>46317</v>
      </c>
      <c r="I10" s="7" t="s">
        <v>16</v>
      </c>
    </row>
    <row r="11" customFormat="false" ht="23.85" hidden="false" customHeight="false" outlineLevel="0" collapsed="false">
      <c r="A11" s="5" t="s">
        <v>46</v>
      </c>
      <c r="B11" s="6" t="s">
        <v>47</v>
      </c>
      <c r="C11" s="6" t="s">
        <v>48</v>
      </c>
      <c r="D11" s="6" t="s">
        <v>49</v>
      </c>
      <c r="E11" s="7" t="s">
        <v>30</v>
      </c>
      <c r="F11" s="6" t="s">
        <v>50</v>
      </c>
      <c r="G11" s="8" t="n">
        <v>46315</v>
      </c>
      <c r="H11" s="8" t="n">
        <v>46319</v>
      </c>
      <c r="I11" s="7" t="s">
        <v>16</v>
      </c>
    </row>
    <row r="12" customFormat="false" ht="23.85" hidden="false" customHeight="false" outlineLevel="0" collapsed="false">
      <c r="A12" s="5" t="s">
        <v>51</v>
      </c>
      <c r="B12" s="6" t="s">
        <v>52</v>
      </c>
      <c r="C12" s="6" t="s">
        <v>53</v>
      </c>
      <c r="D12" s="6" t="s">
        <v>49</v>
      </c>
      <c r="E12" s="7" t="s">
        <v>30</v>
      </c>
      <c r="F12" s="6" t="s">
        <v>54</v>
      </c>
      <c r="G12" s="8" t="n">
        <v>46315</v>
      </c>
      <c r="H12" s="8" t="n">
        <v>46319</v>
      </c>
      <c r="I12" s="7" t="s">
        <v>16</v>
      </c>
    </row>
    <row r="13" customFormat="false" ht="23.85" hidden="false" customHeight="false" outlineLevel="0" collapsed="false">
      <c r="A13" s="5" t="s">
        <v>55</v>
      </c>
      <c r="B13" s="6" t="s">
        <v>56</v>
      </c>
      <c r="C13" s="6" t="s">
        <v>57</v>
      </c>
      <c r="D13" s="6" t="s">
        <v>58</v>
      </c>
      <c r="E13" s="7" t="s">
        <v>30</v>
      </c>
      <c r="F13" s="6" t="s">
        <v>59</v>
      </c>
      <c r="G13" s="8" t="n">
        <v>46315</v>
      </c>
      <c r="H13" s="8" t="n">
        <v>46319</v>
      </c>
      <c r="I13" s="7" t="s">
        <v>16</v>
      </c>
    </row>
    <row r="14" customFormat="false" ht="23.85" hidden="false" customHeight="false" outlineLevel="0" collapsed="false">
      <c r="A14" s="5" t="s">
        <v>60</v>
      </c>
      <c r="B14" s="6" t="s">
        <v>61</v>
      </c>
      <c r="C14" s="6" t="s">
        <v>62</v>
      </c>
      <c r="D14" s="6" t="s">
        <v>13</v>
      </c>
      <c r="E14" s="7" t="s">
        <v>30</v>
      </c>
      <c r="F14" s="6" t="s">
        <v>63</v>
      </c>
      <c r="G14" s="8" t="n">
        <v>46317</v>
      </c>
      <c r="H14" s="8" t="n">
        <v>46320</v>
      </c>
      <c r="I14" s="7" t="s">
        <v>16</v>
      </c>
    </row>
    <row r="15" customFormat="false" ht="15" hidden="false" customHeight="false" outlineLevel="0" collapsed="false">
      <c r="A15" s="5" t="s">
        <v>64</v>
      </c>
      <c r="B15" s="6" t="s">
        <v>65</v>
      </c>
      <c r="C15" s="6" t="s">
        <v>66</v>
      </c>
      <c r="D15" s="6" t="s">
        <v>67</v>
      </c>
      <c r="E15" s="7" t="s">
        <v>30</v>
      </c>
      <c r="F15" s="6" t="s">
        <v>68</v>
      </c>
      <c r="G15" s="8" t="n">
        <v>46317</v>
      </c>
      <c r="H15" s="8" t="n">
        <v>46320</v>
      </c>
      <c r="I15" s="7" t="s">
        <v>32</v>
      </c>
    </row>
    <row r="16" customFormat="false" ht="15" hidden="false" customHeight="false" outlineLevel="0" collapsed="false">
      <c r="A16" s="5" t="s">
        <v>69</v>
      </c>
      <c r="B16" s="6" t="s">
        <v>70</v>
      </c>
      <c r="C16" s="6" t="s">
        <v>71</v>
      </c>
      <c r="D16" s="6" t="s">
        <v>13</v>
      </c>
      <c r="E16" s="7" t="s">
        <v>30</v>
      </c>
      <c r="F16" s="6" t="s">
        <v>72</v>
      </c>
      <c r="G16" s="8" t="n">
        <v>46320</v>
      </c>
      <c r="H16" s="8" t="n">
        <v>46320</v>
      </c>
      <c r="I16" s="7" t="s">
        <v>16</v>
      </c>
    </row>
    <row r="17" customFormat="false" ht="15" hidden="false" customHeight="true" outlineLevel="0" collapsed="false">
      <c r="A17" s="2" t="s">
        <v>73</v>
      </c>
      <c r="B17" s="2"/>
      <c r="C17" s="2"/>
      <c r="D17" s="2"/>
      <c r="E17" s="3" t="str">
        <f aca="false">IF(COUNTIF(E18:E27,"Đã hoàn thành")=ROWS(E18:E27),"Đã hoàn thành",IF(COUNTIF(E18:E27,"Chưa bắt đầu")=ROWS(E18:E27),"Chưa bắt đầu","Đang thực hiện"))</f>
        <v>Chưa bắt đầu</v>
      </c>
      <c r="F17" s="3"/>
      <c r="G17" s="4" t="n">
        <f aca="false">MIN(G18:G27)</f>
        <v>46314</v>
      </c>
      <c r="H17" s="4" t="n">
        <f aca="false">MAX(H18:H27)</f>
        <v>46348</v>
      </c>
      <c r="I17" s="3"/>
    </row>
    <row r="18" customFormat="false" ht="23.85" hidden="false" customHeight="false" outlineLevel="0" collapsed="false">
      <c r="A18" s="5" t="s">
        <v>74</v>
      </c>
      <c r="B18" s="6" t="s">
        <v>75</v>
      </c>
      <c r="C18" s="6" t="s">
        <v>76</v>
      </c>
      <c r="D18" s="6" t="s">
        <v>13</v>
      </c>
      <c r="E18" s="7" t="s">
        <v>30</v>
      </c>
      <c r="F18" s="6" t="s">
        <v>77</v>
      </c>
      <c r="G18" s="8" t="n">
        <v>46314</v>
      </c>
      <c r="H18" s="8" t="n">
        <v>46320</v>
      </c>
      <c r="I18" s="7" t="s">
        <v>32</v>
      </c>
    </row>
    <row r="19" customFormat="false" ht="23.85" hidden="false" customHeight="false" outlineLevel="0" collapsed="false">
      <c r="A19" s="5" t="s">
        <v>78</v>
      </c>
      <c r="B19" s="6" t="s">
        <v>79</v>
      </c>
      <c r="C19" s="6" t="s">
        <v>80</v>
      </c>
      <c r="D19" s="6" t="s">
        <v>49</v>
      </c>
      <c r="E19" s="7" t="s">
        <v>30</v>
      </c>
      <c r="F19" s="6" t="s">
        <v>81</v>
      </c>
      <c r="G19" s="8" t="n">
        <v>46321</v>
      </c>
      <c r="H19" s="8" t="n">
        <v>46327</v>
      </c>
      <c r="I19" s="7" t="s">
        <v>16</v>
      </c>
    </row>
    <row r="20" customFormat="false" ht="15" hidden="false" customHeight="false" outlineLevel="0" collapsed="false">
      <c r="A20" s="5" t="s">
        <v>82</v>
      </c>
      <c r="B20" s="6" t="s">
        <v>83</v>
      </c>
      <c r="C20" s="6" t="s">
        <v>84</v>
      </c>
      <c r="D20" s="6" t="s">
        <v>49</v>
      </c>
      <c r="E20" s="7" t="s">
        <v>30</v>
      </c>
      <c r="F20" s="6" t="s">
        <v>85</v>
      </c>
      <c r="G20" s="8" t="n">
        <v>46328</v>
      </c>
      <c r="H20" s="8" t="n">
        <v>46334</v>
      </c>
      <c r="I20" s="7" t="s">
        <v>16</v>
      </c>
    </row>
    <row r="21" customFormat="false" ht="23.85" hidden="false" customHeight="false" outlineLevel="0" collapsed="false">
      <c r="A21" s="5" t="s">
        <v>86</v>
      </c>
      <c r="B21" s="6" t="s">
        <v>87</v>
      </c>
      <c r="C21" s="6" t="s">
        <v>88</v>
      </c>
      <c r="D21" s="6" t="s">
        <v>49</v>
      </c>
      <c r="E21" s="7" t="s">
        <v>30</v>
      </c>
      <c r="F21" s="6" t="s">
        <v>89</v>
      </c>
      <c r="G21" s="8" t="n">
        <v>46335</v>
      </c>
      <c r="H21" s="8" t="n">
        <v>46341</v>
      </c>
      <c r="I21" s="7" t="s">
        <v>16</v>
      </c>
    </row>
    <row r="22" customFormat="false" ht="15" hidden="false" customHeight="false" outlineLevel="0" collapsed="false">
      <c r="A22" s="5" t="s">
        <v>90</v>
      </c>
      <c r="B22" s="6" t="s">
        <v>91</v>
      </c>
      <c r="C22" s="6" t="s">
        <v>92</v>
      </c>
      <c r="D22" s="6" t="s">
        <v>58</v>
      </c>
      <c r="E22" s="7" t="s">
        <v>30</v>
      </c>
      <c r="F22" s="6" t="s">
        <v>93</v>
      </c>
      <c r="G22" s="8" t="n">
        <v>46321</v>
      </c>
      <c r="H22" s="8" t="n">
        <v>46327</v>
      </c>
      <c r="I22" s="7" t="s">
        <v>16</v>
      </c>
    </row>
    <row r="23" customFormat="false" ht="15" hidden="false" customHeight="false" outlineLevel="0" collapsed="false">
      <c r="A23" s="5" t="s">
        <v>94</v>
      </c>
      <c r="B23" s="6" t="s">
        <v>95</v>
      </c>
      <c r="C23" s="6" t="s">
        <v>96</v>
      </c>
      <c r="D23" s="6" t="s">
        <v>58</v>
      </c>
      <c r="E23" s="7" t="s">
        <v>30</v>
      </c>
      <c r="F23" s="6" t="s">
        <v>97</v>
      </c>
      <c r="G23" s="8" t="n">
        <v>46328</v>
      </c>
      <c r="H23" s="8" t="n">
        <v>46334</v>
      </c>
      <c r="I23" s="7" t="s">
        <v>16</v>
      </c>
    </row>
    <row r="24" customFormat="false" ht="15" hidden="false" customHeight="false" outlineLevel="0" collapsed="false">
      <c r="A24" s="5" t="s">
        <v>98</v>
      </c>
      <c r="B24" s="6" t="s">
        <v>99</v>
      </c>
      <c r="C24" s="6" t="s">
        <v>100</v>
      </c>
      <c r="D24" s="6" t="s">
        <v>67</v>
      </c>
      <c r="E24" s="7" t="s">
        <v>30</v>
      </c>
      <c r="F24" s="6" t="s">
        <v>101</v>
      </c>
      <c r="G24" s="8" t="n">
        <v>46328</v>
      </c>
      <c r="H24" s="8" t="n">
        <v>46341</v>
      </c>
      <c r="I24" s="7" t="s">
        <v>16</v>
      </c>
    </row>
    <row r="25" customFormat="false" ht="15" hidden="false" customHeight="false" outlineLevel="0" collapsed="false">
      <c r="A25" s="5" t="s">
        <v>102</v>
      </c>
      <c r="B25" s="6" t="s">
        <v>103</v>
      </c>
      <c r="C25" s="6" t="s">
        <v>104</v>
      </c>
      <c r="D25" s="6" t="s">
        <v>67</v>
      </c>
      <c r="E25" s="7" t="s">
        <v>30</v>
      </c>
      <c r="F25" s="6" t="s">
        <v>105</v>
      </c>
      <c r="G25" s="8" t="n">
        <v>46321</v>
      </c>
      <c r="H25" s="8" t="n">
        <v>46341</v>
      </c>
      <c r="I25" s="7" t="s">
        <v>16</v>
      </c>
    </row>
    <row r="26" customFormat="false" ht="15" hidden="false" customHeight="false" outlineLevel="0" collapsed="false">
      <c r="A26" s="5" t="s">
        <v>106</v>
      </c>
      <c r="B26" s="6" t="s">
        <v>107</v>
      </c>
      <c r="C26" s="6" t="s">
        <v>108</v>
      </c>
      <c r="D26" s="6" t="s">
        <v>13</v>
      </c>
      <c r="E26" s="7" t="s">
        <v>30</v>
      </c>
      <c r="F26" s="6" t="s">
        <v>109</v>
      </c>
      <c r="G26" s="8" t="n">
        <v>46335</v>
      </c>
      <c r="H26" s="8" t="n">
        <v>46341</v>
      </c>
      <c r="I26" s="7" t="s">
        <v>16</v>
      </c>
    </row>
    <row r="27" customFormat="false" ht="23.85" hidden="false" customHeight="false" outlineLevel="0" collapsed="false">
      <c r="A27" s="5" t="s">
        <v>110</v>
      </c>
      <c r="B27" s="6" t="s">
        <v>111</v>
      </c>
      <c r="C27" s="6" t="s">
        <v>112</v>
      </c>
      <c r="D27" s="6" t="s">
        <v>49</v>
      </c>
      <c r="E27" s="7" t="s">
        <v>30</v>
      </c>
      <c r="F27" s="6" t="s">
        <v>113</v>
      </c>
      <c r="G27" s="8" t="n">
        <v>46342</v>
      </c>
      <c r="H27" s="8" t="n">
        <v>46348</v>
      </c>
      <c r="I27" s="7" t="s">
        <v>16</v>
      </c>
    </row>
    <row r="28" customFormat="false" ht="15" hidden="false" customHeight="true" outlineLevel="0" collapsed="false">
      <c r="A28" s="2" t="s">
        <v>114</v>
      </c>
      <c r="B28" s="2"/>
      <c r="C28" s="2"/>
      <c r="D28" s="2"/>
      <c r="E28" s="3" t="str">
        <f aca="false">IF(COUNTIF(E29:E36,"Đã hoàn thành")=ROWS(E29:E36),"Đã hoàn thành",IF(COUNTIF(E29:E36,"Chưa bắt đầu")=ROWS(E29:E36),"Chưa bắt đầu","Đang thực hiện"))</f>
        <v>Chưa bắt đầu</v>
      </c>
      <c r="F28" s="3"/>
      <c r="G28" s="4" t="n">
        <f aca="false">MIN(G29:G36)</f>
        <v>46314</v>
      </c>
      <c r="H28" s="4" t="n">
        <f aca="false">MAX(H29:H36)</f>
        <v>46355</v>
      </c>
      <c r="I28" s="3"/>
    </row>
    <row r="29" customFormat="false" ht="23.85" hidden="false" customHeight="false" outlineLevel="0" collapsed="false">
      <c r="A29" s="5" t="s">
        <v>115</v>
      </c>
      <c r="B29" s="6" t="s">
        <v>116</v>
      </c>
      <c r="C29" s="6" t="s">
        <v>117</v>
      </c>
      <c r="D29" s="6" t="s">
        <v>29</v>
      </c>
      <c r="E29" s="7" t="s">
        <v>30</v>
      </c>
      <c r="F29" s="6" t="s">
        <v>118</v>
      </c>
      <c r="G29" s="8" t="n">
        <v>46314</v>
      </c>
      <c r="H29" s="8" t="n">
        <v>46320</v>
      </c>
      <c r="I29" s="7" t="s">
        <v>16</v>
      </c>
    </row>
    <row r="30" customFormat="false" ht="23.85" hidden="false" customHeight="false" outlineLevel="0" collapsed="false">
      <c r="A30" s="5" t="s">
        <v>119</v>
      </c>
      <c r="B30" s="6" t="s">
        <v>120</v>
      </c>
      <c r="C30" s="6" t="s">
        <v>121</v>
      </c>
      <c r="D30" s="6" t="s">
        <v>49</v>
      </c>
      <c r="E30" s="7" t="s">
        <v>30</v>
      </c>
      <c r="F30" s="6" t="s">
        <v>122</v>
      </c>
      <c r="G30" s="8" t="n">
        <v>46321</v>
      </c>
      <c r="H30" s="8" t="n">
        <v>46341</v>
      </c>
      <c r="I30" s="7" t="s">
        <v>16</v>
      </c>
    </row>
    <row r="31" customFormat="false" ht="23.85" hidden="false" customHeight="false" outlineLevel="0" collapsed="false">
      <c r="A31" s="5" t="s">
        <v>123</v>
      </c>
      <c r="B31" s="6" t="s">
        <v>124</v>
      </c>
      <c r="C31" s="6" t="s">
        <v>125</v>
      </c>
      <c r="D31" s="6" t="s">
        <v>29</v>
      </c>
      <c r="E31" s="7" t="s">
        <v>30</v>
      </c>
      <c r="F31" s="6" t="s">
        <v>126</v>
      </c>
      <c r="G31" s="8" t="n">
        <v>46335</v>
      </c>
      <c r="H31" s="8" t="n">
        <v>46348</v>
      </c>
      <c r="I31" s="7" t="s">
        <v>32</v>
      </c>
    </row>
    <row r="32" customFormat="false" ht="23.85" hidden="false" customHeight="false" outlineLevel="0" collapsed="false">
      <c r="A32" s="5" t="s">
        <v>127</v>
      </c>
      <c r="B32" s="6" t="s">
        <v>128</v>
      </c>
      <c r="C32" s="6" t="s">
        <v>129</v>
      </c>
      <c r="D32" s="6" t="s">
        <v>29</v>
      </c>
      <c r="E32" s="7" t="s">
        <v>30</v>
      </c>
      <c r="F32" s="6" t="s">
        <v>130</v>
      </c>
      <c r="G32" s="8" t="n">
        <v>46342</v>
      </c>
      <c r="H32" s="8" t="n">
        <v>46348</v>
      </c>
      <c r="I32" s="7" t="s">
        <v>16</v>
      </c>
    </row>
    <row r="33" customFormat="false" ht="23.85" hidden="false" customHeight="false" outlineLevel="0" collapsed="false">
      <c r="A33" s="5" t="s">
        <v>131</v>
      </c>
      <c r="B33" s="6" t="s">
        <v>132</v>
      </c>
      <c r="C33" s="6" t="s">
        <v>133</v>
      </c>
      <c r="D33" s="6" t="s">
        <v>58</v>
      </c>
      <c r="E33" s="7" t="s">
        <v>30</v>
      </c>
      <c r="F33" s="6" t="s">
        <v>134</v>
      </c>
      <c r="G33" s="8" t="n">
        <v>46342</v>
      </c>
      <c r="H33" s="8" t="n">
        <v>46348</v>
      </c>
      <c r="I33" s="7" t="s">
        <v>32</v>
      </c>
    </row>
    <row r="34" customFormat="false" ht="23.85" hidden="false" customHeight="false" outlineLevel="0" collapsed="false">
      <c r="A34" s="5" t="s">
        <v>135</v>
      </c>
      <c r="B34" s="6" t="s">
        <v>136</v>
      </c>
      <c r="C34" s="6" t="s">
        <v>137</v>
      </c>
      <c r="D34" s="6" t="s">
        <v>13</v>
      </c>
      <c r="E34" s="7" t="s">
        <v>30</v>
      </c>
      <c r="F34" s="6" t="s">
        <v>138</v>
      </c>
      <c r="G34" s="8" t="n">
        <v>46341</v>
      </c>
      <c r="H34" s="8" t="n">
        <v>46341</v>
      </c>
      <c r="I34" s="7" t="s">
        <v>32</v>
      </c>
    </row>
    <row r="35" customFormat="false" ht="15" hidden="false" customHeight="false" outlineLevel="0" collapsed="false">
      <c r="A35" s="5" t="s">
        <v>139</v>
      </c>
      <c r="B35" s="6" t="s">
        <v>140</v>
      </c>
      <c r="C35" s="6" t="s">
        <v>141</v>
      </c>
      <c r="D35" s="6" t="s">
        <v>29</v>
      </c>
      <c r="E35" s="7" t="s">
        <v>30</v>
      </c>
      <c r="F35" s="6" t="s">
        <v>142</v>
      </c>
      <c r="G35" s="8" t="n">
        <v>46349</v>
      </c>
      <c r="H35" s="8" t="n">
        <v>46351</v>
      </c>
      <c r="I35" s="7" t="s">
        <v>32</v>
      </c>
    </row>
    <row r="36" customFormat="false" ht="15" hidden="false" customHeight="false" outlineLevel="0" collapsed="false">
      <c r="A36" s="5" t="s">
        <v>143</v>
      </c>
      <c r="B36" s="6" t="s">
        <v>144</v>
      </c>
      <c r="C36" s="6" t="s">
        <v>145</v>
      </c>
      <c r="D36" s="6" t="s">
        <v>13</v>
      </c>
      <c r="E36" s="7" t="s">
        <v>30</v>
      </c>
      <c r="F36" s="6" t="s">
        <v>146</v>
      </c>
      <c r="G36" s="8" t="n">
        <v>46349</v>
      </c>
      <c r="H36" s="8" t="n">
        <v>46355</v>
      </c>
      <c r="I36" s="7" t="s">
        <v>16</v>
      </c>
    </row>
    <row r="37" customFormat="false" ht="15" hidden="false" customHeight="true" outlineLevel="0" collapsed="false">
      <c r="A37" s="2" t="s">
        <v>147</v>
      </c>
      <c r="B37" s="2"/>
      <c r="C37" s="2"/>
      <c r="D37" s="2"/>
      <c r="E37" s="3" t="str">
        <f aca="false">IF(COUNTIF(E38:E44,"Đã hoàn thành")=ROWS(E38:E44),"Đã hoàn thành",IF(COUNTIF(E38:E44,"Chưa bắt đầu")=ROWS(E38:E44),"Chưa bắt đầu","Đang thực hiện"))</f>
        <v>Chưa bắt đầu</v>
      </c>
      <c r="F37" s="3"/>
      <c r="G37" s="4" t="n">
        <f aca="false">MIN(G38:G44)</f>
        <v>46314</v>
      </c>
      <c r="H37" s="4" t="n">
        <f aca="false">MAX(H38:H44)</f>
        <v>46369</v>
      </c>
      <c r="I37" s="3"/>
    </row>
    <row r="38" customFormat="false" ht="15" hidden="false" customHeight="false" outlineLevel="0" collapsed="false">
      <c r="A38" s="5" t="s">
        <v>148</v>
      </c>
      <c r="B38" s="6" t="s">
        <v>149</v>
      </c>
      <c r="C38" s="6" t="s">
        <v>150</v>
      </c>
      <c r="D38" s="6" t="s">
        <v>13</v>
      </c>
      <c r="E38" s="7" t="s">
        <v>30</v>
      </c>
      <c r="F38" s="6" t="s">
        <v>151</v>
      </c>
      <c r="G38" s="8" t="n">
        <v>46314</v>
      </c>
      <c r="H38" s="8" t="n">
        <v>46362</v>
      </c>
      <c r="I38" s="7" t="s">
        <v>16</v>
      </c>
    </row>
    <row r="39" customFormat="false" ht="15" hidden="false" customHeight="false" outlineLevel="0" collapsed="false">
      <c r="A39" s="5" t="s">
        <v>152</v>
      </c>
      <c r="B39" s="6" t="s">
        <v>153</v>
      </c>
      <c r="C39" s="6" t="s">
        <v>154</v>
      </c>
      <c r="D39" s="6" t="s">
        <v>29</v>
      </c>
      <c r="E39" s="7" t="s">
        <v>30</v>
      </c>
      <c r="F39" s="6" t="s">
        <v>155</v>
      </c>
      <c r="G39" s="8" t="n">
        <v>46349</v>
      </c>
      <c r="H39" s="8" t="n">
        <v>46362</v>
      </c>
      <c r="I39" s="7" t="s">
        <v>16</v>
      </c>
    </row>
    <row r="40" customFormat="false" ht="15" hidden="false" customHeight="false" outlineLevel="0" collapsed="false">
      <c r="A40" s="5" t="s">
        <v>156</v>
      </c>
      <c r="B40" s="6" t="s">
        <v>157</v>
      </c>
      <c r="C40" s="6" t="s">
        <v>158</v>
      </c>
      <c r="D40" s="6" t="s">
        <v>67</v>
      </c>
      <c r="E40" s="7" t="s">
        <v>30</v>
      </c>
      <c r="F40" s="6" t="s">
        <v>159</v>
      </c>
      <c r="G40" s="8" t="n">
        <v>46356</v>
      </c>
      <c r="H40" s="8" t="n">
        <v>46362</v>
      </c>
      <c r="I40" s="7" t="s">
        <v>32</v>
      </c>
    </row>
    <row r="41" customFormat="false" ht="23.85" hidden="false" customHeight="false" outlineLevel="0" collapsed="false">
      <c r="A41" s="5" t="s">
        <v>160</v>
      </c>
      <c r="B41" s="6" t="s">
        <v>161</v>
      </c>
      <c r="C41" s="6" t="s">
        <v>162</v>
      </c>
      <c r="D41" s="6" t="s">
        <v>29</v>
      </c>
      <c r="E41" s="7" t="s">
        <v>30</v>
      </c>
      <c r="F41" s="6" t="s">
        <v>163</v>
      </c>
      <c r="G41" s="8" t="n">
        <v>46356</v>
      </c>
      <c r="H41" s="8" t="n">
        <v>46362</v>
      </c>
      <c r="I41" s="7" t="s">
        <v>16</v>
      </c>
    </row>
    <row r="42" customFormat="false" ht="15" hidden="false" customHeight="false" outlineLevel="0" collapsed="false">
      <c r="A42" s="5" t="s">
        <v>164</v>
      </c>
      <c r="B42" s="6" t="s">
        <v>165</v>
      </c>
      <c r="C42" s="6" t="s">
        <v>166</v>
      </c>
      <c r="D42" s="6" t="s">
        <v>49</v>
      </c>
      <c r="E42" s="7" t="s">
        <v>30</v>
      </c>
      <c r="F42" s="6" t="s">
        <v>167</v>
      </c>
      <c r="G42" s="8" t="n">
        <v>46356</v>
      </c>
      <c r="H42" s="8" t="n">
        <v>46362</v>
      </c>
      <c r="I42" s="7" t="s">
        <v>32</v>
      </c>
    </row>
    <row r="43" customFormat="false" ht="23.85" hidden="false" customHeight="false" outlineLevel="0" collapsed="false">
      <c r="A43" s="5" t="s">
        <v>168</v>
      </c>
      <c r="B43" s="6" t="s">
        <v>169</v>
      </c>
      <c r="C43" s="6" t="s">
        <v>170</v>
      </c>
      <c r="D43" s="6" t="s">
        <v>13</v>
      </c>
      <c r="E43" s="7" t="s">
        <v>30</v>
      </c>
      <c r="F43" s="6" t="s">
        <v>171</v>
      </c>
      <c r="G43" s="8" t="n">
        <v>46363</v>
      </c>
      <c r="H43" s="8" t="n">
        <v>46368</v>
      </c>
      <c r="I43" s="7" t="s">
        <v>16</v>
      </c>
    </row>
    <row r="44" customFormat="false" ht="15" hidden="false" customHeight="false" outlineLevel="0" collapsed="false">
      <c r="A44" s="5" t="s">
        <v>172</v>
      </c>
      <c r="B44" s="6" t="s">
        <v>173</v>
      </c>
      <c r="C44" s="6" t="s">
        <v>174</v>
      </c>
      <c r="D44" s="6" t="s">
        <v>13</v>
      </c>
      <c r="E44" s="7" t="s">
        <v>30</v>
      </c>
      <c r="F44" s="6" t="s">
        <v>175</v>
      </c>
      <c r="G44" s="8" t="n">
        <v>46369</v>
      </c>
      <c r="H44" s="8" t="n">
        <v>46369</v>
      </c>
      <c r="I44" s="7" t="s">
        <v>16</v>
      </c>
    </row>
    <row r="46" customFormat="false" ht="15" hidden="false" customHeight="true" outlineLevel="0" collapsed="false">
      <c r="A46" s="9" t="s">
        <v>176</v>
      </c>
      <c r="B46" s="9"/>
      <c r="C46" s="9"/>
      <c r="D46" s="9"/>
      <c r="E46" s="9"/>
      <c r="F46" s="9"/>
      <c r="G46" s="9"/>
      <c r="H46" s="9"/>
      <c r="I46" s="9"/>
    </row>
    <row r="47" customFormat="false" ht="30" hidden="false" customHeight="true" outlineLevel="0" collapsed="false">
      <c r="A47" s="10" t="s">
        <v>177</v>
      </c>
      <c r="B47" s="10"/>
      <c r="C47" s="10"/>
      <c r="D47" s="10"/>
      <c r="E47" s="10"/>
      <c r="F47" s="10"/>
      <c r="G47" s="10"/>
      <c r="H47" s="10"/>
      <c r="I47" s="10"/>
    </row>
    <row r="48" customFormat="false" ht="30" hidden="false" customHeight="true" outlineLevel="0" collapsed="false">
      <c r="A48" s="10" t="s">
        <v>178</v>
      </c>
      <c r="B48" s="10"/>
      <c r="C48" s="10"/>
      <c r="D48" s="10"/>
      <c r="E48" s="10"/>
      <c r="F48" s="10"/>
      <c r="G48" s="10"/>
      <c r="H48" s="10"/>
      <c r="I48" s="10"/>
    </row>
    <row r="49" customFormat="false" ht="30" hidden="false" customHeight="true" outlineLevel="0" collapsed="false">
      <c r="A49" s="10" t="s">
        <v>179</v>
      </c>
      <c r="B49" s="10"/>
      <c r="C49" s="10"/>
      <c r="D49" s="10"/>
      <c r="E49" s="10"/>
      <c r="F49" s="10"/>
      <c r="G49" s="10"/>
      <c r="H49" s="10"/>
      <c r="I49" s="10"/>
    </row>
    <row r="50" customFormat="false" ht="30" hidden="false" customHeight="true" outlineLevel="0" collapsed="false">
      <c r="A50" s="10" t="s">
        <v>180</v>
      </c>
      <c r="B50" s="10"/>
      <c r="C50" s="10"/>
      <c r="D50" s="10"/>
      <c r="E50" s="10"/>
      <c r="F50" s="10"/>
      <c r="G50" s="10"/>
      <c r="H50" s="10"/>
      <c r="I50" s="10"/>
    </row>
  </sheetData>
  <autoFilter ref="A1:I44"/>
  <mergeCells count="10">
    <mergeCell ref="A2:D2"/>
    <mergeCell ref="A8:D8"/>
    <mergeCell ref="A17:D17"/>
    <mergeCell ref="A28:D28"/>
    <mergeCell ref="A37:D37"/>
    <mergeCell ref="A46:I46"/>
    <mergeCell ref="A47:I47"/>
    <mergeCell ref="A48:I48"/>
    <mergeCell ref="A49:I49"/>
    <mergeCell ref="A50:I50"/>
  </mergeCells>
  <conditionalFormatting sqref="E2:E44">
    <cfRule type="cellIs" priority="2" operator="equal" aboveAverage="0" equalAverage="0" bottom="0" percent="0" rank="0" text="" dxfId="10">
      <formula>"Đã hoàn thành"</formula>
    </cfRule>
    <cfRule type="cellIs" priority="3" operator="equal" aboveAverage="0" equalAverage="0" bottom="0" percent="0" rank="0" text="" dxfId="11">
      <formula>"Đang thực hiện"</formula>
    </cfRule>
    <cfRule type="cellIs" priority="4" operator="equal" aboveAverage="0" equalAverage="0" bottom="0" percent="0" rank="0" text="" dxfId="12">
      <formula>"Chưa bắt đầu"</formula>
    </cfRule>
  </conditionalFormatting>
  <conditionalFormatting sqref="I2:I44">
    <cfRule type="cellIs" priority="5" operator="equal" aboveAverage="0" equalAverage="0" bottom="0" percent="0" rank="0" text="" dxfId="13">
      <formula>"Cao"</formula>
    </cfRule>
    <cfRule type="cellIs" priority="6" operator="equal" aboveAverage="0" equalAverage="0" bottom="0" percent="0" rank="0" text="" dxfId="14">
      <formula>"Trung bình"</formula>
    </cfRule>
    <cfRule type="cellIs" priority="7" operator="equal" aboveAverage="0" equalAverage="0" bottom="0" percent="0" rank="0" text="" dxfId="11">
      <formula>"Thấp"</formula>
    </cfRule>
  </conditionalFormatting>
  <dataValidations count="2">
    <dataValidation allowBlank="false" errorStyle="stop" operator="between" showDropDown="false" showErrorMessage="false" showInputMessage="false" sqref="E3:E7 E9:E16 E18:E27 E29:E36 E38:E44" type="list">
      <formula1>"Chưa bắt đầu,Đang thực hiện,Đã hoàn thành"</formula1>
      <formula2>0</formula2>
    </dataValidation>
    <dataValidation allowBlank="false" errorStyle="stop" operator="between" showDropDown="false" showErrorMessage="false" showInputMessage="false" sqref="I3:I7 I9:I16 I18:I27 I29:I36 I38:I44" type="list">
      <formula1>"Cao,Trung bình,Thấp"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181</v>
      </c>
      <c r="B1" s="1" t="s">
        <v>182</v>
      </c>
      <c r="C1" s="1" t="s">
        <v>14</v>
      </c>
      <c r="D1" s="1" t="s">
        <v>183</v>
      </c>
    </row>
    <row r="2" customFormat="false" ht="15" hidden="false" customHeight="false" outlineLevel="0" collapsed="false">
      <c r="A2" s="11" t="s">
        <v>9</v>
      </c>
      <c r="B2" s="12" t="n">
        <f aca="false">COUNTIF(WBS!$A$2:$A$44,"1.*")</f>
        <v>5</v>
      </c>
      <c r="C2" s="12" t="n">
        <f aca="false">COUNTIFS(WBS!$A$2:$A$44,"1.*",WBS!$E$2:$E$44,"Đã hoàn thành")</f>
        <v>2</v>
      </c>
      <c r="D2" s="13" t="n">
        <f aca="false">IF(B2=0,0,C2/B2)</f>
        <v>0.4</v>
      </c>
    </row>
    <row r="3" customFormat="false" ht="15" hidden="false" customHeight="false" outlineLevel="0" collapsed="false">
      <c r="A3" s="11" t="s">
        <v>37</v>
      </c>
      <c r="B3" s="12" t="n">
        <f aca="false">COUNTIF(WBS!$A$2:$A$44,"2.*")</f>
        <v>8</v>
      </c>
      <c r="C3" s="12" t="n">
        <f aca="false">COUNTIFS(WBS!$A$2:$A$44,"2.*",WBS!$E$2:$E$44,"Đã hoàn thành")</f>
        <v>0</v>
      </c>
      <c r="D3" s="13" t="n">
        <f aca="false">IF(B3=0,0,C3/B3)</f>
        <v>0</v>
      </c>
    </row>
    <row r="4" customFormat="false" ht="15" hidden="false" customHeight="false" outlineLevel="0" collapsed="false">
      <c r="A4" s="11" t="s">
        <v>73</v>
      </c>
      <c r="B4" s="12" t="n">
        <f aca="false">COUNTIF(WBS!$A$2:$A$44,"3.*")</f>
        <v>10</v>
      </c>
      <c r="C4" s="12" t="n">
        <f aca="false">COUNTIFS(WBS!$A$2:$A$44,"3.*",WBS!$E$2:$E$44,"Đã hoàn thành")</f>
        <v>0</v>
      </c>
      <c r="D4" s="13" t="n">
        <f aca="false">IF(B4=0,0,C4/B4)</f>
        <v>0</v>
      </c>
    </row>
    <row r="5" customFormat="false" ht="15" hidden="false" customHeight="false" outlineLevel="0" collapsed="false">
      <c r="A5" s="11" t="s">
        <v>114</v>
      </c>
      <c r="B5" s="12" t="n">
        <f aca="false">COUNTIF(WBS!$A$2:$A$44,"4.*")</f>
        <v>8</v>
      </c>
      <c r="C5" s="12" t="n">
        <f aca="false">COUNTIFS(WBS!$A$2:$A$44,"4.*",WBS!$E$2:$E$44,"Đã hoàn thành")</f>
        <v>0</v>
      </c>
      <c r="D5" s="13" t="n">
        <f aca="false">IF(B5=0,0,C5/B5)</f>
        <v>0</v>
      </c>
    </row>
    <row r="6" customFormat="false" ht="15" hidden="false" customHeight="false" outlineLevel="0" collapsed="false">
      <c r="A6" s="11" t="s">
        <v>147</v>
      </c>
      <c r="B6" s="12" t="n">
        <f aca="false">COUNTIF(WBS!$A$2:$A$44,"5.*")</f>
        <v>7</v>
      </c>
      <c r="C6" s="12" t="n">
        <f aca="false">COUNTIFS(WBS!$A$2:$A$44,"5.*",WBS!$E$2:$E$44,"Đã hoàn thành")</f>
        <v>0</v>
      </c>
      <c r="D6" s="13" t="n">
        <f aca="false">IF(B6=0,0,C6/B6)</f>
        <v>0</v>
      </c>
    </row>
    <row r="7" customFormat="false" ht="15" hidden="false" customHeight="false" outlineLevel="0" collapsed="false">
      <c r="A7" s="14" t="s">
        <v>184</v>
      </c>
      <c r="B7" s="15" t="n">
        <f aca="false">SUM(B2:B6)</f>
        <v>38</v>
      </c>
      <c r="C7" s="15" t="n">
        <f aca="false">SUM(C2:C6)</f>
        <v>2</v>
      </c>
      <c r="D7" s="16" t="n">
        <f aca="false">IF(B7=0,0,C7/B7)</f>
        <v>0.0526315789473684</v>
      </c>
    </row>
    <row r="9" customFormat="false" ht="15" hidden="false" customHeight="false" outlineLevel="0" collapsed="false">
      <c r="A9" s="17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18" t="s">
        <v>186</v>
      </c>
      <c r="B1" s="18" t="s">
        <v>187</v>
      </c>
      <c r="C1" s="18" t="s">
        <v>181</v>
      </c>
    </row>
    <row r="2" customFormat="false" ht="15" hidden="false" customHeight="false" outlineLevel="0" collapsed="false">
      <c r="A2" s="19" t="s">
        <v>188</v>
      </c>
      <c r="B2" s="19" t="s">
        <v>189</v>
      </c>
      <c r="C2" s="19" t="s">
        <v>190</v>
      </c>
    </row>
    <row r="3" customFormat="false" ht="15" hidden="false" customHeight="false" outlineLevel="0" collapsed="false">
      <c r="A3" s="19" t="s">
        <v>36</v>
      </c>
      <c r="B3" s="19" t="s">
        <v>34</v>
      </c>
      <c r="C3" s="19" t="s">
        <v>191</v>
      </c>
    </row>
    <row r="4" customFormat="false" ht="15" hidden="false" customHeight="false" outlineLevel="0" collapsed="false">
      <c r="A4" s="19" t="s">
        <v>192</v>
      </c>
      <c r="B4" s="19" t="s">
        <v>193</v>
      </c>
      <c r="C4" s="19" t="s">
        <v>191</v>
      </c>
    </row>
    <row r="5" customFormat="false" ht="15" hidden="false" customHeight="false" outlineLevel="0" collapsed="false">
      <c r="A5" s="19" t="s">
        <v>45</v>
      </c>
      <c r="B5" s="19" t="s">
        <v>194</v>
      </c>
      <c r="C5" s="19" t="s">
        <v>195</v>
      </c>
    </row>
    <row r="6" customFormat="false" ht="15" hidden="false" customHeight="false" outlineLevel="0" collapsed="false">
      <c r="A6" s="19" t="s">
        <v>50</v>
      </c>
      <c r="B6" s="19" t="s">
        <v>196</v>
      </c>
      <c r="C6" s="19" t="s">
        <v>195</v>
      </c>
    </row>
    <row r="7" customFormat="false" ht="15" hidden="false" customHeight="false" outlineLevel="0" collapsed="false">
      <c r="A7" s="19" t="s">
        <v>54</v>
      </c>
      <c r="B7" s="19" t="s">
        <v>197</v>
      </c>
      <c r="C7" s="19" t="s">
        <v>195</v>
      </c>
    </row>
    <row r="8" customFormat="false" ht="15" hidden="false" customHeight="false" outlineLevel="0" collapsed="false">
      <c r="A8" s="19" t="s">
        <v>59</v>
      </c>
      <c r="B8" s="19" t="s">
        <v>198</v>
      </c>
      <c r="C8" s="19" t="s">
        <v>195</v>
      </c>
    </row>
    <row r="9" customFormat="false" ht="15" hidden="false" customHeight="false" outlineLevel="0" collapsed="false">
      <c r="A9" s="19" t="s">
        <v>63</v>
      </c>
      <c r="B9" s="19" t="s">
        <v>199</v>
      </c>
      <c r="C9" s="19" t="s">
        <v>195</v>
      </c>
    </row>
    <row r="10" customFormat="false" ht="15" hidden="false" customHeight="false" outlineLevel="0" collapsed="false">
      <c r="A10" s="19" t="s">
        <v>200</v>
      </c>
      <c r="B10" s="19" t="s">
        <v>201</v>
      </c>
      <c r="C10" s="19" t="s">
        <v>202</v>
      </c>
    </row>
    <row r="11" customFormat="false" ht="15" hidden="false" customHeight="false" outlineLevel="0" collapsed="false">
      <c r="A11" s="19" t="s">
        <v>203</v>
      </c>
      <c r="B11" s="19" t="s">
        <v>204</v>
      </c>
      <c r="C11" s="19" t="s">
        <v>202</v>
      </c>
    </row>
    <row r="12" customFormat="false" ht="15" hidden="false" customHeight="false" outlineLevel="0" collapsed="false">
      <c r="A12" s="19" t="s">
        <v>118</v>
      </c>
      <c r="B12" s="19" t="s">
        <v>205</v>
      </c>
      <c r="C12" s="19" t="s">
        <v>206</v>
      </c>
    </row>
    <row r="13" customFormat="false" ht="15" hidden="false" customHeight="false" outlineLevel="0" collapsed="false">
      <c r="A13" s="19" t="s">
        <v>207</v>
      </c>
      <c r="B13" s="19" t="s">
        <v>208</v>
      </c>
      <c r="C13" s="19" t="s">
        <v>206</v>
      </c>
    </row>
    <row r="14" customFormat="false" ht="15" hidden="false" customHeight="false" outlineLevel="0" collapsed="false">
      <c r="A14" s="19" t="s">
        <v>209</v>
      </c>
      <c r="B14" s="19" t="s">
        <v>210</v>
      </c>
      <c r="C14" s="19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2026-10-17T01:34:56Z</dcterms:created>
  <dc:creator>openpyxl</dc:creator>
  <dc:description/>
  <dc:language>en-US</dc:language>
  <cp:lastModifiedBy/>
  <dcterms:modified xsi:type="dcterms:W3CDTF">2026-10-17T01:34:56Z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