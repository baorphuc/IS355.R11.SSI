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455dd28a7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575d8ae4542643de"/>
    <x:sheet xmlns:r="http://schemas.openxmlformats.org/officeDocument/2006/relationships" name="Phân công nhóm" sheetId="2" r:id="R7b8dcda76dd345ac"/>
  </x:sheets>
</x:workbook>
</file>

<file path=xl/sharedStrings.xml><?xml version="1.0" encoding="utf-8"?>
<x:sst xmlns:x="http://schemas.openxmlformats.org/spreadsheetml/2006/main">
  <x:si>
    <x:t xml:space="preserve">Giai đoạn (Phase)</x:t>
  </x:si>
  <x:si>
    <x:t xml:space="preserve">Tên công việc (Task Name)</x:t>
  </x:si>
  <x:si>
    <x:t xml:space="preserve">Mô tả (Description)</x:t>
  </x:si>
  <x:si>
    <x:t xml:space="preserve">Người thực hiện (Assignee)</x:t>
  </x:si>
  <x:si>
    <x:t xml:space="preserve">Trạng thái (Status)</x:t>
  </x:si>
  <x:si>
    <x:t xml:space="preserve">Thành phẩm (Deliverables)</x:t>
  </x:si>
  <x:si>
    <x:t xml:space="preserve">Ngày bắt đầu (Start Date)</x:t>
  </x:si>
  <x:si>
    <x:t xml:space="preserve">Ngày kết thúc (End Date)</x:t>
  </x:si>
  <x:si>
    <x:t xml:space="preserve">Độ ưu tiên (Priority)</x:t>
  </x:si>
  <x:si>
    <x:t xml:space="preserve">Phase 1: Khởi động dự án</x:t>
  </x:si>
  <x:si>
    <x:t xml:space="preserve">1.1</x:t>
  </x:si>
  <x:si>
    <x:t xml:space="preserve">Chọn đề tài và kịch bản demo</x:t>
  </x:si>
  <x:si>
    <x:t xml:space="preserve">Chốt Bài 01 (SSI) và kịch bản cấp, xác minh bằng tốt nghiệp: Trường → Sinh viên → Nhà tuyển dụng</x:t>
  </x:si>
  <x:si>
    <x:t xml:space="preserve">Cả nhóm</x:t>
  </x:si>
  <x:si>
    <x:t xml:space="preserve">Đề tài, kịch bản demo</x:t>
  </x:si>
  <x:si>
    <x:t xml:space="preserve">Cao</x:t>
  </x:si>
  <x:si>
    <x:t xml:space="preserve">1.2</x:t>
  </x:si>
  <x:si>
    <x:t xml:space="preserve">Chọn công nghệ</x:t>
  </x:si>
  <x:si>
    <x:t xml:space="preserve">Solidity 0.8.x, OpenZeppelin 5.x, Hardhat, Web3.py, cryptography, Kubo (IPFS), Streamlit, Sepolia</x:t>
  </x:si>
  <x:si>
    <x:t xml:space="preserve">Danh sách công nghệ, phiên bản cố định</x:t>
  </x:si>
  <x:si>
    <x:t xml:space="preserve">1.3</x:t>
  </x:si>
  <x:si>
    <x:t xml:space="preserve">Chốt phạm vi và mục tiêu</x:t>
  </x:si>
  <x:si>
    <x:t xml:space="preserve">Khóa 12 chức năng kỹ thuật + 1 hạng mục báo cáo; những phần ngoài phạm vi chỉ nhắc ngắn</x:t>
  </x:si>
  <x:si>
    <x:t xml:space="preserve">Mục 0 của outline bản 3</x:t>
  </x:si>
  <x:si>
    <x:t xml:space="preserve">1.4</x:t>
  </x:si>
  <x:si>
    <x:t xml:space="preserve">Phân công và quy ước làm việc</x:t>
  </x:si>
  <x:si>
    <x:t xml:space="preserve">Trung bình</x:t>
  </x:si>
  <x:si>
    <x:t xml:space="preserve">Phase 2: Phân tích &amp; Thiết kế</x:t>
  </x:si>
  <x:si>
    <x:t xml:space="preserve">2.1</x:t>
  </x:si>
  <x:si>
    <x:t xml:space="preserve">Tạo WBS và kế hoạch</x:t>
  </x:si>
  <x:si>
    <x:t xml:space="preserve">2.2</x:t>
  </x:si>
  <x:si>
    <x:t xml:space="preserve">Tài liệu phân tích yêu cầu chức năng</x:t>
  </x:si>
  <x:si>
    <x:t xml:space="preserve">2.3</x:t>
  </x:si>
  <x:si>
    <x:t xml:space="preserve">Thiết kế kiến trúc tổng thể</x:t>
  </x:si>
  <x:si>
    <x:t xml:space="preserve">Use case 3 vai trò, kiến trúc dashboard – Web3.py – contract – Sepolia – IPFS, dữ liệu on-chain và off-chain</x:t>
  </x:si>
  <x:si>
    <x:t xml:space="preserve">docs/2-planning-phase/architecture.md</x:t>
  </x:si>
  <x:si>
    <x:t xml:space="preserve">2.4</x:t>
  </x:si>
  <x:si>
    <x:t xml:space="preserve">Thiết kế smart contract và trạng thái</x:t>
  </x:si>
  <x:si>
    <x:t xml:space="preserve">SSIRegistry, IdentitySBT, GatedService; trạng thái credential; ràng buộc require; đặc tả chữ ký Issuer</x:t>
  </x:si>
  <x:si>
    <x:t xml:space="preserve">Thành viên A</x:t>
  </x:si>
  <x:si>
    <x:t xml:space="preserve">docs/2-planning-phase/contracts-spec.md</x:t>
  </x:si>
  <x:si>
    <x:t xml:space="preserve">2.5</x:t>
  </x:si>
  <x:si>
    <x:t xml:space="preserve">Thiết kế mã hóa và quản lý khóa</x:t>
  </x:si>
  <x:si>
    <x:t xml:space="preserve">AES-256-GCM, RSA-OAEP, consent kèm khóa bọc, lưu và khôi phục khóa</x:t>
  </x:si>
  <x:si>
    <x:t xml:space="preserve">Thành viên B</x:t>
  </x:si>
  <x:si>
    <x:t xml:space="preserve">docs/2-planning-phase/key-management.md</x:t>
  </x:si>
  <x:si>
    <x:t xml:space="preserve">2.6</x:t>
  </x:si>
  <x:si>
    <x:t xml:space="preserve">Chốt giao diện chung giữa các mảng</x:t>
  </x:si>
  <x:si>
    <x:t xml:space="preserve">2.7</x:t>
  </x:si>
  <x:si>
    <x:t xml:space="preserve">Thiết kế giao diện người dùng</x:t>
  </x:si>
  <x:si>
    <x:t xml:space="preserve">2.8</x:t>
  </x:si>
  <x:si>
    <x:t xml:space="preserve">Đóng băng thiết kế</x:t>
  </x:si>
  <x:si>
    <x:t xml:space="preserve">Phase 3: Triển khai &amp; Tích hợp</x:t>
  </x:si>
  <x:si>
    <x:t xml:space="preserve">3.1</x:t>
  </x:si>
  <x:si>
    <x:t xml:space="preserve">Cài đặt môi trường phát triển</x:t>
  </x:si>
  <x:si>
    <x:t xml:space="preserve">3.2</x:t>
  </x:si>
  <x:si>
    <x:t xml:space="preserve">Smart contract SSIRegistry</x:t>
  </x:si>
  <x:si>
    <x:t xml:space="preserve">registerKey, createDID, requestCredential, issueCredential kèm chữ ký, verifyCredential, revokeCredential, phân quyền</x:t>
  </x:si>
  <x:si>
    <x:t xml:space="preserve">contracts/SSIRegistry.sol</x:t>
  </x:si>
  <x:si>
    <x:t xml:space="preserve">3.3</x:t>
  </x:si>
  <x:si>
    <x:t xml:space="preserve">Consent trong contract</x:t>
  </x:si>
  <x:si>
    <x:t xml:space="preserve">grantConsent kèm khóa bọc, revokeConsent, hasAccess</x:t>
  </x:si>
  <x:si>
    <x:t xml:space="preserve">Hàm consent trong SSIRegistry</x:t>
  </x:si>
  <x:si>
    <x:t xml:space="preserve">3.4</x:t>
  </x:si>
  <x:si>
    <x:t xml:space="preserve">IdentitySBT và GatedService</x:t>
  </x:si>
  <x:si>
    <x:t xml:space="preserve">Mint, burn khi thu hồi, chặn chuyển nhượng, dịch vụ token-gated</x:t>
  </x:si>
  <x:si>
    <x:t xml:space="preserve">contracts/IdentitySBT.sol, GatedService.sol</x:t>
  </x:si>
  <x:si>
    <x:t xml:space="preserve">3.5</x:t>
  </x:si>
  <x:si>
    <x:t xml:space="preserve">Mô-đun mã hóa và ký</x:t>
  </x:si>
  <x:si>
    <x:t xml:space="preserve">3.6</x:t>
  </x:si>
  <x:si>
    <x:t xml:space="preserve">Tích hợp IPFS</x:t>
  </x:si>
  <x:si>
    <x:t xml:space="preserve">3.7</x:t>
  </x:si>
  <x:si>
    <x:t xml:space="preserve">Lớp Web3.py</x:t>
  </x:si>
  <x:si>
    <x:t xml:space="preserve">3.8</x:t>
  </x:si>
  <x:si>
    <x:t xml:space="preserve">Giao diện 3 dashboard</x:t>
  </x:si>
  <x:si>
    <x:t xml:space="preserve">3.9</x:t>
  </x:si>
  <x:si>
    <x:t xml:space="preserve">Tích hợp end-to-end trên chain local</x:t>
  </x:si>
  <x:si>
    <x:t xml:space="preserve">Triển khai Sepolia</x:t>
  </x:si>
  <x:si>
    <x:t xml:space="preserve">Phase 4: Đo kiểm &amp; Giám sát</x:t>
  </x:si>
  <x:si>
    <x:t xml:space="preserve">4.1</x:t>
  </x:si>
  <x:si>
    <x:t xml:space="preserve">Viết test plan và test case</x:t>
  </x:si>
  <x:si>
    <x:t xml:space="preserve">4.2</x:t>
  </x:si>
  <x:si>
    <x:t xml:space="preserve">Unit test smart contract</x:t>
  </x:si>
  <x:si>
    <x:t xml:space="preserve">4.3</x:t>
  </x:si>
  <x:si>
    <x:t xml:space="preserve">Integration test</x:t>
  </x:si>
  <x:si>
    <x:t xml:space="preserve">4.4</x:t>
  </x:si>
  <x:si>
    <x:t xml:space="preserve">Kiểm thử chức năng trên Sepolia</x:t>
  </x:si>
  <x:si>
    <x:t xml:space="preserve">4.5</x:t>
  </x:si>
  <x:si>
    <x:t xml:space="preserve">Kiểm thử bảo mật, RBAC và consent</x:t>
  </x:si>
  <x:si>
    <x:t xml:space="preserve">4.6</x:t>
  </x:si>
  <x:si>
    <x:t xml:space="preserve">Đánh giá tiến độ giữa kỳ</x:t>
  </x:si>
  <x:si>
    <x:t xml:space="preserve">Rà soát mốc cuối tuần 4: chạy được 12 chức năng trên chain local</x:t>
  </x:si>
  <x:si>
    <x:t xml:space="preserve">Biên bản họp, danh sách việc tồn</x:t>
  </x:si>
  <x:si>
    <x:t xml:space="preserve">4.7</x:t>
  </x:si>
  <x:si>
    <x:t xml:space="preserve">Báo cáo kiểm thử</x:t>
  </x:si>
  <x:si>
    <x:t xml:space="preserve">Tổng hợp kết quả, lỗi đã sửa, hạn chế</x:t>
  </x:si>
  <x:si>
    <x:t xml:space="preserve">Thành viên D</x:t>
  </x:si>
  <x:si>
    <x:t xml:space="preserve">Chương 5 của báo cáo</x:t>
  </x:si>
  <x:si>
    <x:t xml:space="preserve">4.8</x:t>
  </x:si>
  <x:si>
    <x:t xml:space="preserve">Sửa lỗi và đóng băng mã nguồn</x:t>
  </x:si>
  <x:si>
    <x:t xml:space="preserve">Chỉ sửa lỗi, không thêm tính năng</x:t>
  </x:si>
  <x:si>
    <x:t xml:space="preserve">Tag phiên bản cuối trên Git</x:t>
  </x:si>
  <x:si>
    <x:t xml:space="preserve">Phase 5: Báo cáo &amp; Nghiệm thu</x:t>
  </x:si>
  <x:si>
    <x:t xml:space="preserve">5.1</x:t>
  </x:si>
  <x:si>
    <x:t xml:space="preserve">Viết báo cáo theo outline bản 3</x:t>
  </x:si>
  <x:si>
    <x:t xml:space="preserve">5.2</x:t>
  </x:si>
  <x:si>
    <x:t xml:space="preserve">Làm slide thuyết trình</x:t>
  </x:si>
  <x:si>
    <x:t xml:space="preserve">Chữ lớn hơn 18 pt, có số slide, caption, tương phản</x:t>
  </x:si>
  <x:si>
    <x:t xml:space="preserve">File slide</x:t>
  </x:si>
  <x:si>
    <x:t xml:space="preserve">5.3</x:t>
  </x:si>
  <x:si>
    <x:t xml:space="preserve">Quay video demo có caption</x:t>
  </x:si>
  <x:si>
    <x:t xml:space="preserve">5.4</x:t>
  </x:si>
  <x:si>
    <x:t xml:space="preserve">Soát lỗi và quy ước trình bày</x:t>
  </x:si>
  <x:si>
    <x:t xml:space="preserve">Chính tả, caption, bảng viết tắt, tài liệu tham khảo, cỡ chữ Word lớn hơn 14 pt, số trang</x:t>
  </x:si>
  <x:si>
    <x:t xml:space="preserve">Bản báo cáo đã soát</x:t>
  </x:si>
  <x:si>
    <x:t xml:space="preserve">5.5</x:t>
  </x:si>
  <x:si>
    <x:t xml:space="preserve">Đóng gói mã nguồn và tài liệu repo</x:t>
  </x:si>
  <x:si>
    <x:t xml:space="preserve">5.6</x:t>
  </x:si>
  <x:si>
    <x:t xml:space="preserve">Luyện demo và chuẩn bị phản biện</x:t>
  </x:si>
  <x:si>
    <x:t xml:space="preserve">Chạy thử nhiều lần, chuẩn bị câu trả lời về consent, RBAC, giới hạn hệ thống</x:t>
  </x:si>
  <x:si>
    <x:t xml:space="preserve">Kịch bản demo, danh sách câu hỏi</x:t>
  </x:si>
  <x:si>
    <x:t xml:space="preserve">5.7</x:t>
  </x:si>
  <x:si>
    <x:t xml:space="preserve">Nộp bài và bảo vệ</x:t>
  </x:si>
  <x:si>
    <x:t xml:space="preserve">Nộp báo cáo, slide, mã nguồn, video</x:t>
  </x:si>
  <x:si>
    <x:t xml:space="preserve">Sản phẩm nộp</x:t>
  </x:si>
  <x:si>
    <x:t xml:space="preserve">Ghi chú:</x:t>
  </x:si>
  <x:si>
    <x:t xml:space="preserve">- Ngày giả định: bắt đầu 17/10/2026 (khởi động) và 19/10/2026 (tuần 1), kết thúc 13/12/2026 (hết tuần 8). Đối chiếu với hạn nộp thật của giảng viên rồi chỉnh các cột ngày.</x:t>
  </x:si>
  <x:si>
    <x:t xml:space="preserve">- Thành viên A, B, C, D là tên giữ chỗ: A phụ trách smart contract, B phụ trách IPFS và mã hóa, C phụ trách Web3.py và giao diện, D phụ trách kiểm thử, tài liệu và hợp nhất báo cáo. Thay bằng tên thật ở cột D.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</x:si>
</x:sst>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200" formatCode="@"/>
  </x:numFmts>
  <x:fonts count="13">
    <x:font>
      <x:sz val="11"/>
      <x:color theme="1"/>
      <x:name val="Calibri"/>
      <x:scheme val="minor"/>
    </x:font>
    <x:font>
      <x:b/>
      <x:sz val="13"/>
      <x:color rgb="FFFFFFFF"/>
      <x:name val="Times New Roman"/>
    </x:font>
    <x:font>
      <x:b/>
      <x:sz val="13"/>
      <x:color theme="1"/>
      <x:name val="Times New Roman"/>
    </x:font>
    <x:font/>
    <x:font>
      <x:sz val="13"/>
      <x:color theme="1"/>
      <x:name val="Times New Roman"/>
    </x:font>
    <x:font>
      <x:b/>
      <x:sz val="10"/>
      <x:color theme="1"/>
      <x:name val="Arial"/>
    </x:font>
    <x:font>
      <x:i/>
      <x:sz val="10"/>
      <x:color theme="1"/>
      <x:name val="Arial"/>
    </x:font>
    <x:font>
      <x:sz val="10"/>
      <x:color rgb="FF1F2937"/>
      <x:name val="Arial"/>
      <x:scheme val="minor"/>
    </x:font>
    <x:font>
      <x:b/>
      <x:sz val="14"/>
      <x:color rgb="FFFFFFFF"/>
      <x:name val="Arial"/>
      <x:scheme val="minor"/>
    </x:font>
    <x:font>
      <x:i/>
      <x:sz val="10"/>
      <x:color rgb="FF4B5563"/>
      <x:name val="Arial"/>
      <x:scheme val="minor"/>
    </x:font>
    <x:font>
      <x:b/>
      <x:sz val="10"/>
      <x:color rgb="FFFFFFFF"/>
      <x:name val="Arial"/>
      <x:scheme val="minor"/>
    </x:font>
    <x:font>
      <x:b/>
      <x:sz val="11"/>
      <x:color rgb="FF17365D"/>
      <x:name val="Arial"/>
      <x:scheme val="minor"/>
    </x:font>
    <x:font>
      <x:i/>
      <x:sz val="10"/>
      <x:color rgb="FF7F6000"/>
      <x:name val="Arial"/>
      <x:scheme val="minor"/>
    </x:font>
  </x:fonts>
  <x:fills count="14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00FF00"/>
      </x:patternFill>
    </x:fill>
    <x:fill>
      <x:patternFill patternType="solid">
        <x:fgColor rgb="FF17365D"/>
      </x:patternFill>
    </x:fill>
    <x:fill>
      <x:patternFill patternType="solid">
        <x:fgColor rgb="FF244062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43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 wrapText="1" shrinkToFit="0"/>
    </x:xf>
    <x:xf numFmtId="0" fontId="2" fillId="3" borderId="2" xfId="0" applyFont="1" applyFill="1" applyBorder="1" applyAlignment="1">
      <x:alignment horizontal="left" vertical="center" wrapText="1" shrinkToFit="0"/>
    </x:xf>
    <x:xf numFmtId="0" fontId="3" fillId="0" borderId="3" xfId="0" applyFont="1" applyBorder="1"/>
    <x:xf numFmtId="0" fontId="3" fillId="0" borderId="4" xfId="0" applyFont="1" applyBorder="1"/>
    <x:xf numFmtId="0" fontId="2" fillId="3" borderId="1" xfId="0" applyFont="1" applyFill="1" applyBorder="1" applyAlignment="1">
      <x:alignment horizontal="center" vertical="center" wrapText="1" shrinkToFit="0"/>
    </x:xf>
    <x:xf numFmtId="164" fontId="2" fillId="3" borderId="1" xfId="0" applyNumberFormat="1" applyFont="1" applyFill="1" applyBorder="1" applyAlignment="1">
      <x:alignment horizontal="center" vertical="center" wrapText="1" shrinkToFit="0"/>
    </x:xf>
    <x:xf numFmtId="49" fontId="4" fillId="0" borderId="1" xfId="0" applyNumberFormat="1" applyFont="1" applyBorder="1" applyAlignment="1">
      <x:alignment horizontal="center" vertical="top" wrapText="1" shrinkToFit="0"/>
    </x:xf>
    <x:xf numFmtId="0" fontId="4" fillId="0" borderId="1" xfId="0" applyFont="1" applyBorder="1" applyAlignment="1">
      <x:alignment horizontal="left" vertical="top" wrapText="1" shrinkToFit="0"/>
    </x:xf>
    <x:xf numFmtId="0" fontId="4" fillId="0" borderId="1" xfId="0" applyFont="1" applyBorder="1" applyAlignment="1">
      <x:alignment horizontal="center" vertical="top" wrapText="1" shrinkToFit="0"/>
    </x:xf>
    <x:xf numFmtId="164" fontId="4" fillId="0" borderId="1" xfId="0" applyNumberFormat="1" applyFont="1" applyBorder="1" applyAlignment="1">
      <x:alignment horizontal="center" vertical="top" wrapText="1" shrinkToFit="0"/>
    </x:xf>
    <x:xf numFmtId="0" fontId="5" fillId="0" borderId="0" xfId="0" applyFont="1" applyAlignment="1">
      <x:alignment vertical="top" wrapText="1" shrinkToFit="0"/>
    </x:xf>
    <x:xf numFmtId="0" fontId="6" fillId="0" borderId="0" xfId="0" applyFont="1" applyAlignment="1">
      <x:alignment vertical="top" wrapText="1" shrinkToFit="0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horizontal="left"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>
          <x:bgColor rgb="FFC6EFCE"/>
        </x:patternFill>
      </x:fill>
      <x:border/>
    </x:dxf>
    <x:dxf>
      <x:fill>
        <x:patternFill>
          <x:bgColor rgb="FFBDD7EE"/>
        </x:patternFill>
      </x:fill>
      <x:border/>
    </x:dxf>
    <x:dxf>
      <x:fill>
        <x:patternFill>
          <x:bgColor rgb="FFEDEDED"/>
        </x:patternFill>
      </x:fill>
      <x:border/>
    </x:dxf>
    <x:dxf>
      <x:fill>
        <x:patternFill>
          <x:bgColor rgb="FFF8CBAD"/>
        </x:patternFill>
      </x:fill>
      <x:border/>
    </x:dxf>
    <x:dxf>
      <x:fill>
        <x:patternFill>
          <x:bgColor rgb="FFFFE69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e1db830594531" /><Relationship Type="http://schemas.openxmlformats.org/officeDocument/2006/relationships/theme" Target="/xl/theme/theme1.xml" Id="R7d8b6c99c8684972" /><Relationship Type="http://schemas.openxmlformats.org/officeDocument/2006/relationships/sharedStrings" Target="/xl/sharedStrings.xml" Id="Rb6c991a63f8448d8" /><Relationship Type="http://schemas.openxmlformats.org/officeDocument/2006/relationships/worksheet" Target="/xl/worksheets/sheet1.xml" Id="R575d8ae4542643de" /><Relationship Type="http://schemas.openxmlformats.org/officeDocument/2006/relationships/worksheet" Target="/xl/worksheets/sheet2.xml" Id="R7b8dcda76dd345a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ColWidth="14.430000305175781" defaultRowHeight="15"/>
  <x:cols>
    <x:col min="1" max="1" width="18" customWidth="1"/>
    <x:col min="2" max="2" width="34" customWidth="1"/>
    <x:col min="3" max="3" width="75.43000030517578" customWidth="1"/>
    <x:col min="4" max="4" width="19" customWidth="1"/>
    <x:col min="5" max="5" width="17" customWidth="1"/>
    <x:col min="6" max="6" width="36" customWidth="1"/>
    <x:col min="7" max="8" width="15" customWidth="1"/>
    <x:col min="9" max="9" width="14" customWidth="1"/>
    <x:col min="10" max="26" width="8.710000038146973" customWidth="1"/>
  </x:cols>
  <x:sheetData>
    <x:row r="1" ht="31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15" customHeight="1">
      <x:c r="A2" s="2" t="s">
        <x:v>9</x:v>
      </x:c>
      <x:c r="B2" s="3"/>
      <x:c r="C2" s="3"/>
      <x:c r="D2" s="4"/>
      <x:c r="E2" s="5" t="str">
        <x:f>IF(COUNTIF(E3:E6,"Đã hoàn thành")=ROWS(E3:E6),"Đã hoàn thành",IF(COUNTIF(E3:E6,"Chưa bắt đầu")=ROWS(E3:E6),"Chưa bắt đầu","Đang thực hiện"))</x:f>
        <x:v>Đã hoàn thành</x:v>
      </x:c>
      <x:c r="F2" s="5"/>
      <x:c r="G2" s="6" t="n">
        <x:f>MIN(G3:G6)</x:f>
        <x:v>46312</x:v>
      </x:c>
      <x:c r="H2" s="6" t="n">
        <x:f>MAX(H3:H6)</x:f>
        <x:v>46316</x:v>
      </x:c>
      <x:c r="I2" s="5"/>
    </x:row>
    <x:row r="3">
      <x:c r="A3" s="7" t="s">
        <x:v>10</x:v>
      </x:c>
      <x:c r="B3" s="8" t="s">
        <x:v>11</x:v>
      </x:c>
      <x:c r="C3" s="8" t="s">
        <x:v>12</x:v>
      </x:c>
      <x:c r="D3" s="8" t="s">
        <x:v>13</x:v>
      </x:c>
      <x:c r="E3" s="9" t="str">
        <x:v>Đã hoàn thành</x:v>
      </x:c>
      <x:c r="F3" s="8" t="s">
        <x:v>14</x:v>
      </x:c>
      <x:c r="G3" s="10">
        <x:v>46312.0</x:v>
      </x:c>
      <x:c r="H3" s="10">
        <x:v>46313.0</x:v>
      </x:c>
      <x:c r="I3" s="9" t="s">
        <x:v>15</x:v>
      </x:c>
    </x:row>
    <x:row r="4">
      <x:c r="A4" s="7" t="s">
        <x:v>16</x:v>
      </x:c>
      <x:c r="B4" s="8" t="s">
        <x:v>17</x:v>
      </x:c>
      <x:c r="C4" s="8" t="s">
        <x:v>18</x:v>
      </x:c>
      <x:c r="D4" s="8" t="s">
        <x:v>13</x:v>
      </x:c>
      <x:c r="E4" s="9" t="str">
        <x:v>Đã hoàn thành</x:v>
      </x:c>
      <x:c r="F4" s="8" t="s">
        <x:v>19</x:v>
      </x:c>
      <x:c r="G4" s="10">
        <x:v>46312.0</x:v>
      </x:c>
      <x:c r="H4" s="10">
        <x:v>46315.0</x:v>
      </x:c>
      <x:c r="I4" s="9" t="s">
        <x:v>15</x:v>
      </x:c>
    </x:row>
    <x:row r="5">
      <x:c r="A5" s="7" t="s">
        <x:v>20</x:v>
      </x:c>
      <x:c r="B5" s="8" t="s">
        <x:v>21</x:v>
      </x:c>
      <x:c r="C5" s="8" t="s">
        <x:v>22</x:v>
      </x:c>
      <x:c r="D5" s="8" t="s">
        <x:v>13</x:v>
      </x:c>
      <x:c r="E5" s="9" t="str">
        <x:v>Đã hoàn thành</x:v>
      </x:c>
      <x:c r="F5" s="8" t="s">
        <x:v>23</x:v>
      </x:c>
      <x:c r="G5" s="10">
        <x:v>46312.0</x:v>
      </x:c>
      <x:c r="H5" s="10">
        <x:v>46314.0</x:v>
      </x:c>
      <x:c r="I5" s="9" t="s">
        <x:v>15</x:v>
      </x:c>
    </x:row>
    <x:row r="6" ht="36" customHeight="1">
      <x:c r="A6" s="7" t="s">
        <x:v>24</x:v>
      </x:c>
      <x:c r="B6" s="8" t="s">
        <x:v>25</x:v>
      </x:c>
      <x:c r="C6" s="8" t="str">
        <x:v>Chia 4 mảng A/B/C/D; làm song song theo interfaces.md FROZEN v1; quy tắc nhánh, Pull Request và review.</x:v>
      </x:c>
      <x:c r="D6" s="8" t="str">
        <x:v>Thành viên D</x:v>
      </x:c>
      <x:c r="E6" s="9" t="str">
        <x:v>Đã hoàn thành</x:v>
      </x:c>
      <x:c r="F6" s="8" t="str">
        <x:v>TEAM_HANDOFF.md; quy ước nhánh và commit</x:v>
      </x:c>
      <x:c r="G6" s="10">
        <x:v>46314.0</x:v>
      </x:c>
      <x:c r="H6" s="10">
        <x:v>46316.0</x:v>
      </x:c>
      <x:c r="I6" s="9" t="s">
        <x:v>26</x:v>
      </x:c>
    </x:row>
    <x:row r="7" ht="15" customHeight="1">
      <x:c r="A7" s="2" t="s">
        <x:v>27</x:v>
      </x:c>
      <x:c r="B7" s="3"/>
      <x:c r="C7" s="3"/>
      <x:c r="D7" s="4"/>
      <x:c r="E7" s="5" t="str">
        <x:f>IF(COUNTIF(E8:E15,"Đã hoàn thành")=ROWS(E8:E15),"Đã hoàn thành",IF(COUNTIF(E8:E15,"Chưa bắt đầu")=ROWS(E8:E15),"Chưa bắt đầu","Đang thực hiện"))</x:f>
        <x:v>Đang thực hiện</x:v>
      </x:c>
      <x:c r="F7" s="5"/>
      <x:c r="G7" s="6" t="n">
        <x:f>MIN(G8:G15)</x:f>
        <x:v>46314</x:v>
      </x:c>
      <x:c r="H7" s="6" t="n">
        <x:f>MAX(H8:H15)</x:f>
        <x:v>46320</x:v>
      </x:c>
      <x:c r="I7" s="5"/>
    </x:row>
    <x:row r="8">
      <x:c r="A8" s="7" t="s">
        <x:v>28</x:v>
      </x:c>
      <x:c r="B8" s="8" t="s">
        <x:v>29</x:v>
      </x:c>
      <x:c r="C8" s="8" t="str">
        <x:v>Theo dõi công việc theo 5 Phase, người phụ trách, mốc thời gian và trạng thái thực tế.</x:v>
      </x:c>
      <x:c r="D8" s="8" t="str">
        <x:v>Thành viên D</x:v>
      </x:c>
      <x:c r="E8" s="9" t="str">
        <x:v>Đã hoàn thành</x:v>
      </x:c>
      <x:c r="F8" s="8" t="str">
        <x:v>WBS cập nhật theo repository</x:v>
      </x:c>
      <x:c r="G8" s="10">
        <x:v>46314.0</x:v>
      </x:c>
      <x:c r="H8" s="10">
        <x:v>46316.0</x:v>
      </x:c>
      <x:c r="I8" s="9" t="s">
        <x:v>26</x:v>
      </x:c>
    </x:row>
    <x:row r="9" ht="36" customHeight="1">
      <x:c r="A9" s="7" t="s">
        <x:v>30</x:v>
      </x:c>
      <x:c r="B9" s="8" t="s">
        <x:v>31</x:v>
      </x:c>
      <x:c r="C9" s="8" t="str">
        <x:v>Đối chiếu đề bài, rubric và 12 chức năng; gom yêu cầu đang rải trong Charter/architecture thành một tài liệu thống nhất.</x:v>
      </x:c>
      <x:c r="D9" s="8" t="str">
        <x:v>Thành viên D</x:v>
      </x:c>
      <x:c r="E9" s="9" t="str">
        <x:v>Đang thực hiện</x:v>
      </x:c>
      <x:c r="F9" s="8" t="str">
        <x:v>docs/2-planning-phase/requirements.md (còn TODO)</x:v>
      </x:c>
      <x:c r="G9" s="10">
        <x:v>46314.0</x:v>
      </x:c>
      <x:c r="H9" s="10">
        <x:v>46317.0</x:v>
      </x:c>
      <x:c r="I9" s="9" t="s">
        <x:v>15</x:v>
      </x:c>
    </x:row>
    <x:row r="10">
      <x:c r="A10" s="7" t="s">
        <x:v>32</x:v>
      </x:c>
      <x:c r="B10" s="8" t="s">
        <x:v>33</x:v>
      </x:c>
      <x:c r="C10" s="8" t="s">
        <x:v>34</x:v>
      </x:c>
      <x:c r="D10" s="8" t="str">
        <x:v>Thành viên A + C</x:v>
      </x:c>
      <x:c r="E10" s="9" t="str">
        <x:v>Đã hoàn thành</x:v>
      </x:c>
      <x:c r="F10" s="8" t="s">
        <x:v>35</x:v>
      </x:c>
      <x:c r="G10" s="10">
        <x:v>46315.0</x:v>
      </x:c>
      <x:c r="H10" s="10">
        <x:v>46319.0</x:v>
      </x:c>
      <x:c r="I10" s="9" t="s">
        <x:v>15</x:v>
      </x:c>
    </x:row>
    <x:row r="11">
      <x:c r="A11" s="7" t="s">
        <x:v>36</x:v>
      </x:c>
      <x:c r="B11" s="8" t="s">
        <x:v>37</x:v>
      </x:c>
      <x:c r="C11" s="8" t="s">
        <x:v>38</x:v>
      </x:c>
      <x:c r="D11" s="8" t="s">
        <x:v>39</x:v>
      </x:c>
      <x:c r="E11" s="9" t="str">
        <x:v>Đã hoàn thành</x:v>
      </x:c>
      <x:c r="F11" s="8" t="s">
        <x:v>40</x:v>
      </x:c>
      <x:c r="G11" s="10">
        <x:v>46315.0</x:v>
      </x:c>
      <x:c r="H11" s="10">
        <x:v>46319.0</x:v>
      </x:c>
      <x:c r="I11" s="9" t="s">
        <x:v>15</x:v>
      </x:c>
    </x:row>
    <x:row r="12">
      <x:c r="A12" s="7" t="s">
        <x:v>41</x:v>
      </x:c>
      <x:c r="B12" s="8" t="s">
        <x:v>42</x:v>
      </x:c>
      <x:c r="C12" s="8" t="s">
        <x:v>43</x:v>
      </x:c>
      <x:c r="D12" s="8" t="s">
        <x:v>44</x:v>
      </x:c>
      <x:c r="E12" s="9" t="str">
        <x:v>Đã hoàn thành</x:v>
      </x:c>
      <x:c r="F12" s="8" t="s">
        <x:v>45</x:v>
      </x:c>
      <x:c r="G12" s="10">
        <x:v>46315.0</x:v>
      </x:c>
      <x:c r="H12" s="10">
        <x:v>46319.0</x:v>
      </x:c>
      <x:c r="I12" s="9" t="s">
        <x:v>15</x:v>
      </x:c>
    </x:row>
    <x:row r="13" ht="36" customHeight="1">
      <x:c r="A13" s="7" t="s">
        <x:v>46</x:v>
      </x:c>
      <x:c r="B13" s="8" t="s">
        <x:v>47</x:v>
      </x:c>
      <x:c r="C13" s="8" t="str">
        <x:v>Khóa ABI, trạng thái, ciphertext, wrapped key và digest EIP-191 để A/B/C/D phát triển song song.</x:v>
      </x:c>
      <x:c r="D13" s="8" t="str">
        <x:v>Cả nhóm</x:v>
      </x:c>
      <x:c r="E13" s="9" t="str">
        <x:v>Đã hoàn thành</x:v>
      </x:c>
      <x:c r="F13" s="8" t="str">
        <x:v>docs/2-planning-phase/interfaces.md (FROZEN v1)</x:v>
      </x:c>
      <x:c r="G13" s="10">
        <x:v>46317.0</x:v>
      </x:c>
      <x:c r="H13" s="10">
        <x:v>46320.0</x:v>
      </x:c>
      <x:c r="I13" s="9" t="s">
        <x:v>15</x:v>
      </x:c>
    </x:row>
    <x:row r="14" ht="36" customHeight="1">
      <x:c r="A14" s="7" t="s">
        <x:v>48</x:v>
      </x:c>
      <x:c r="B14" s="8" t="s">
        <x:v>49</x:v>
      </x:c>
      <x:c r="C14" s="8" t="str">
        <x:v>Scaffold 3 dashboard Holder, Issuer, Verifier đã có; tiếp tục hoàn thiện luồng thao tác và thông báo lỗi.</x:v>
      </x:c>
      <x:c r="D14" s="8" t="str">
        <x:v>Thành viên C</x:v>
      </x:c>
      <x:c r="E14" s="9" t="str">
        <x:v>Đang thực hiện</x:v>
      </x:c>
      <x:c r="F14" s="8" t="str">
        <x:v>app/holder.py; app/issuer.py; app/verifier.py</x:v>
      </x:c>
      <x:c r="G14" s="10">
        <x:v>46317.0</x:v>
      </x:c>
      <x:c r="H14" s="10">
        <x:v>46320.0</x:v>
      </x:c>
      <x:c r="I14" s="9" t="s">
        <x:v>26</x:v>
      </x:c>
    </x:row>
    <x:row r="15" ht="36" customHeight="1">
      <x:c r="A15" s="7" t="s">
        <x:v>50</x:v>
      </x:c>
      <x:c r="B15" s="8" t="s">
        <x:v>51</x:v>
      </x:c>
      <x:c r="C15" s="8" t="str">
        <x:v>Đóng băng giao diện tích hợp ở FROZEN v1; thay đổi phải đi qua Pull Request và cập nhật đồng bộ code/test/docs.</x:v>
      </x:c>
      <x:c r="D15" s="8" t="str">
        <x:v>Cả nhóm</x:v>
      </x:c>
      <x:c r="E15" s="9" t="str">
        <x:v>Đã hoàn thành</x:v>
      </x:c>
      <x:c r="F15" s="8" t="str">
        <x:v>interfaces.md FROZEN v1; TEAM_HANDOFF.md</x:v>
      </x:c>
      <x:c r="G15" s="10">
        <x:v>46320.0</x:v>
      </x:c>
      <x:c r="H15" s="10">
        <x:v>46320.0</x:v>
      </x:c>
      <x:c r="I15" s="9" t="s">
        <x:v>15</x:v>
      </x:c>
    </x:row>
    <x:row r="16" ht="15" customHeight="1">
      <x:c r="A16" s="2" t="s">
        <x:v>52</x:v>
      </x:c>
      <x:c r="B16" s="3"/>
      <x:c r="C16" s="3"/>
      <x:c r="D16" s="4"/>
      <x:c r="E16" s="5" t="str">
        <x:f>IF(COUNTIF(E17:E26,"Đã hoàn thành")=ROWS(E17:E26),"Đã hoàn thành",IF(COUNTIF(E17:E26,"Chưa bắt đầu")=ROWS(E17:E26),"Chưa bắt đầu","Đang thực hiện"))</x:f>
        <x:v>Đang thực hiện</x:v>
      </x:c>
      <x:c r="F16" s="5"/>
      <x:c r="G16" s="6" t="n">
        <x:f>MIN(G17:G26)</x:f>
        <x:v>46314</x:v>
      </x:c>
      <x:c r="H16" s="6" t="n">
        <x:f>MAX(H17:H26)</x:f>
        <x:v>46348</x:v>
      </x:c>
      <x:c r="I16" s="5"/>
    </x:row>
    <x:row r="17" ht="36" customHeight="1">
      <x:c r="A17" s="7" t="s">
        <x:v>53</x:v>
      </x:c>
      <x:c r="B17" s="8" t="s">
        <x:v>54</x:v>
      </x:c>
      <x:c r="C17" s="8" t="str">
        <x:v>Cấu hình repo đã chạy local; mỗi thành viên còn phải kiểm tra máy riêng, Kubo và ví Sepolia testnet.</x:v>
      </x:c>
      <x:c r="D17" s="8" t="str">
        <x:v>Cả nhóm</x:v>
      </x:c>
      <x:c r="E17" s="9" t="str">
        <x:v>Đang thực hiện</x:v>
      </x:c>
      <x:c r="F17" s="8" t="str">
        <x:v>package.json; requirements.txt; .env.example; README.md</x:v>
      </x:c>
      <x:c r="G17" s="10">
        <x:v>46314.0</x:v>
      </x:c>
      <x:c r="H17" s="10">
        <x:v>46320.0</x:v>
      </x:c>
      <x:c r="I17" s="9" t="s">
        <x:v>26</x:v>
      </x:c>
    </x:row>
    <x:row r="18">
      <x:c r="A18" s="7" t="s">
        <x:v>55</x:v>
      </x:c>
      <x:c r="B18" s="8" t="s">
        <x:v>56</x:v>
      </x:c>
      <x:c r="C18" s="8" t="s">
        <x:v>57</x:v>
      </x:c>
      <x:c r="D18" s="8" t="s">
        <x:v>39</x:v>
      </x:c>
      <x:c r="E18" s="9" t="str">
        <x:v>Đã hoàn thành</x:v>
      </x:c>
      <x:c r="F18" s="8" t="s">
        <x:v>58</x:v>
      </x:c>
      <x:c r="G18" s="10">
        <x:v>46321.0</x:v>
      </x:c>
      <x:c r="H18" s="10">
        <x:v>46327.0</x:v>
      </x:c>
      <x:c r="I18" s="9" t="s">
        <x:v>15</x:v>
      </x:c>
    </x:row>
    <x:row r="19">
      <x:c r="A19" s="7" t="s">
        <x:v>59</x:v>
      </x:c>
      <x:c r="B19" s="8" t="s">
        <x:v>60</x:v>
      </x:c>
      <x:c r="C19" s="8" t="s">
        <x:v>61</x:v>
      </x:c>
      <x:c r="D19" s="8" t="s">
        <x:v>39</x:v>
      </x:c>
      <x:c r="E19" s="9" t="str">
        <x:v>Đã hoàn thành</x:v>
      </x:c>
      <x:c r="F19" s="8" t="s">
        <x:v>62</x:v>
      </x:c>
      <x:c r="G19" s="10">
        <x:v>46328.0</x:v>
      </x:c>
      <x:c r="H19" s="10">
        <x:v>46334.0</x:v>
      </x:c>
      <x:c r="I19" s="9" t="s">
        <x:v>15</x:v>
      </x:c>
    </x:row>
    <x:row r="20" ht="15.75" customHeight="1">
      <x:c r="A20" s="7" t="s">
        <x:v>63</x:v>
      </x:c>
      <x:c r="B20" s="8" t="s">
        <x:v>64</x:v>
      </x:c>
      <x:c r="C20" s="8" t="s">
        <x:v>65</x:v>
      </x:c>
      <x:c r="D20" s="8" t="s">
        <x:v>39</x:v>
      </x:c>
      <x:c r="E20" s="9" t="str">
        <x:v>Đã hoàn thành</x:v>
      </x:c>
      <x:c r="F20" s="8" t="s">
        <x:v>66</x:v>
      </x:c>
      <x:c r="G20" s="10">
        <x:v>46335.0</x:v>
      </x:c>
      <x:c r="H20" s="10">
        <x:v>46341.0</x:v>
      </x:c>
      <x:c r="I20" s="9" t="s">
        <x:v>15</x:v>
      </x:c>
    </x:row>
    <x:row r="21" ht="36" customHeight="1">
      <x:c r="A21" s="7" t="s">
        <x:v>67</x:v>
      </x:c>
      <x:c r="B21" s="8" t="s">
        <x:v>68</x:v>
      </x:c>
      <x:c r="C21" s="8" t="str">
        <x:v>B hoàn thiện AES-GCM/RSA-OAEP và định dạng gói; C hoàn thiện phần Issuer ký digest EIP-191 trong luồng Web3/UI.</x:v>
      </x:c>
      <x:c r="D21" s="8" t="str">
        <x:v>Thành viên B + C</x:v>
      </x:c>
      <x:c r="E21" s="9" t="str">
        <x:v>Đang thực hiện</x:v>
      </x:c>
      <x:c r="F21" s="8" t="str">
        <x:v>crypto/; web3_client/; unit test</x:v>
      </x:c>
      <x:c r="G21" s="10">
        <x:v>46321.0</x:v>
      </x:c>
      <x:c r="H21" s="10">
        <x:v>46327.0</x:v>
      </x:c>
      <x:c r="I21" s="9" t="s">
        <x:v>15</x:v>
      </x:c>
    </x:row>
    <x:row r="22" ht="36" customHeight="1">
      <x:c r="A22" s="7" t="s">
        <x:v>69</x:v>
      </x:c>
      <x:c r="B22" s="8" t="s">
        <x:v>70</x:v>
      </x:c>
      <x:c r="C22" s="8" t="str">
        <x:v>Upload/retrieve 3 file .enc qua Kubo, giải mã và đối chiếu SHA-256 PDF bản rõ với docHash.</x:v>
      </x:c>
      <x:c r="D22" s="8" t="str">
        <x:v>Thành viên B</x:v>
      </x:c>
      <x:c r="E22" s="9" t="str">
        <x:v>Đang thực hiện</x:v>
      </x:c>
      <x:c r="F22" s="8" t="str">
        <x:v>ipfs/ module; kiểm thử Kubo round-trip</x:v>
      </x:c>
      <x:c r="G22" s="10">
        <x:v>46328.0</x:v>
      </x:c>
      <x:c r="H22" s="10">
        <x:v>46334.0</x:v>
      </x:c>
      <x:c r="I22" s="9" t="s">
        <x:v>15</x:v>
      </x:c>
    </x:row>
    <x:row r="23" ht="36" customHeight="1">
      <x:c r="A23" s="7" t="s">
        <x:v>71</x:v>
      </x:c>
      <x:c r="B23" s="8" t="s">
        <x:v>72</x:v>
      </x:c>
      <x:c r="C23" s="8" t="str">
        <x:v>Nạp artifact, wrapper có kiểu cho ABI, ký/gửi giao dịch, chờ receipt và đọc trạng thái.</x:v>
      </x:c>
      <x:c r="D23" s="8" t="str">
        <x:v>Thành viên C</x:v>
      </x:c>
      <x:c r="E23" s="9" t="str">
        <x:v>Đang thực hiện</x:v>
      </x:c>
      <x:c r="F23" s="8" t="str">
        <x:v>web3_client/ module và wrapper contract</x:v>
      </x:c>
      <x:c r="G23" s="10">
        <x:v>46328.0</x:v>
      </x:c>
      <x:c r="H23" s="10">
        <x:v>46341.0</x:v>
      </x:c>
      <x:c r="I23" s="9" t="s">
        <x:v>15</x:v>
      </x:c>
    </x:row>
    <x:row r="24" ht="36" customHeight="1">
      <x:c r="A24" s="7" t="s">
        <x:v>73</x:v>
      </x:c>
      <x:c r="B24" s="8" t="s">
        <x:v>74</x:v>
      </x:c>
      <x:c r="C24" s="8" t="str">
        <x:v>Nối các nút Holder/Issuer/Verifier với giao dịch thật; hiển thị trạng thái, lỗi và transaction hash; không nhập private key trên UI.</x:v>
      </x:c>
      <x:c r="D24" s="8" t="str">
        <x:v>Thành viên C</x:v>
      </x:c>
      <x:c r="E24" s="9" t="str">
        <x:v>Đang thực hiện</x:v>
      </x:c>
      <x:c r="F24" s="8" t="str">
        <x:v>app/ Streamlit chạy local end-to-end</x:v>
      </x:c>
      <x:c r="G24" s="10">
        <x:v>46321.0</x:v>
      </x:c>
      <x:c r="H24" s="10">
        <x:v>46341.0</x:v>
      </x:c>
      <x:c r="I24" s="9" t="s">
        <x:v>15</x:v>
      </x:c>
    </x:row>
    <x:row r="25" ht="36" customHeight="1">
      <x:c r="A25" s="7" t="s">
        <x:v>75</x:v>
      </x:c>
      <x:c r="B25" s="8" t="s">
        <x:v>76</x:v>
      </x:c>
      <x:c r="C25" s="8" t="str">
        <x:v>Ghép contract của A, crypto/IPFS của B và Web3/UI của C; D chạy kiểm thử toàn luồng 12 chức năng trên Hardhat local.</x:v>
      </x:c>
      <x:c r="D25" s="8" t="str">
        <x:v>Cả nhóm (D xác nhận)</x:v>
      </x:c>
      <x:c r="E25" s="9" t="str">
        <x:v>Đang thực hiện</x:v>
      </x:c>
      <x:c r="F25" s="8" t="str">
        <x:v>Demo local end-to-end và bằng chứng test</x:v>
      </x:c>
      <x:c r="G25" s="10">
        <x:v>46335.0</x:v>
      </x:c>
      <x:c r="H25" s="10">
        <x:v>46341.0</x:v>
      </x:c>
      <x:c r="I25" s="9" t="s">
        <x:v>15</x:v>
      </x:c>
    </x:row>
    <x:row r="26" ht="36" customHeight="1">
      <x:c r="A26" s="13" t="str">
        <x:v>3.10</x:v>
      </x:c>
      <x:c r="B26" s="8" t="s">
        <x:v>77</x:v>
      </x:c>
      <x:c r="C26" s="8" t="str">
        <x:v>A deploy/cấp role; C cấu hình ứng dụng theo địa chỉ contract; D chạy smoke test và lưu bằng chứng Sepolia.</x:v>
      </x:c>
      <x:c r="D26" s="8" t="str">
        <x:v>A + C + D</x:v>
      </x:c>
      <x:c r="E26" s="9" t="str">
        <x:v>Chưa bắt đầu</x:v>
      </x:c>
      <x:c r="F26" s="8" t="str">
        <x:v>Địa chỉ contract; chain ID; tx hash; deployments/</x:v>
      </x:c>
      <x:c r="G26" s="10">
        <x:v>46342.0</x:v>
      </x:c>
      <x:c r="H26" s="10">
        <x:v>46348.0</x:v>
      </x:c>
      <x:c r="I26" s="9" t="s">
        <x:v>15</x:v>
      </x:c>
    </x:row>
    <x:row r="27" ht="15" customHeight="1">
      <x:c r="A27" s="2" t="s">
        <x:v>78</x:v>
      </x:c>
      <x:c r="B27" s="3"/>
      <x:c r="C27" s="3"/>
      <x:c r="D27" s="4"/>
      <x:c r="E27" s="5" t="str">
        <x:f>IF(COUNTIF(E28:E35,"Đã hoàn thành")=ROWS(E28:E35),"Đã hoàn thành",IF(COUNTIF(E28:E35,"Chưa bắt đầu")=ROWS(E28:E35),"Chưa bắt đầu","Đang thực hiện"))</x:f>
        <x:v>Đang thực hiện</x:v>
      </x:c>
      <x:c r="F27" s="5"/>
      <x:c r="G27" s="6" t="n">
        <x:f>MIN(G28:G35)</x:f>
        <x:v>46314</x:v>
      </x:c>
      <x:c r="H27" s="6" t="n">
        <x:f>MAX(H28:H35)</x:f>
        <x:v>46355</x:v>
      </x:c>
      <x:c r="I27" s="5"/>
    </x:row>
    <x:row r="28" ht="36" customHeight="1">
      <x:c r="A28" s="7" t="s">
        <x:v>79</x:v>
      </x:c>
      <x:c r="B28" s="8" t="s">
        <x:v>80</x:v>
      </x:c>
      <x:c r="C28" s="8" t="str">
        <x:v>Chuyển TODO trong test plan thành test hoặc checklist có bằng chứng cho contract, crypto/IPFS, UI và Sepolia.</x:v>
      </x:c>
      <x:c r="D28" s="8" t="str">
        <x:v>Thành viên D</x:v>
      </x:c>
      <x:c r="E28" s="9" t="str">
        <x:v>Đang thực hiện</x:v>
      </x:c>
      <x:c r="F28" s="8" t="str">
        <x:v>docs/4-testing-phase/test-plan.md</x:v>
      </x:c>
      <x:c r="G28" s="10">
        <x:v>46314.0</x:v>
      </x:c>
      <x:c r="H28" s="10">
        <x:v>46320.0</x:v>
      </x:c>
      <x:c r="I28" s="9" t="s">
        <x:v>15</x:v>
      </x:c>
    </x:row>
    <x:row r="29" ht="36" customHeight="1">
      <x:c r="A29" s="7" t="s">
        <x:v>81</x:v>
      </x:c>
      <x:c r="B29" s="8" t="s">
        <x:v>82</x:v>
      </x:c>
      <x:c r="C29" s="8" t="str">
        <x:v>A bổ sung ca thành công/revert cho consent, chữ ký/hash, duplicate DID/mint, ID không tồn tại và quyền Issuer.</x:v>
      </x:c>
      <x:c r="D29" s="8" t="str">
        <x:v>Thành viên A</x:v>
      </x:c>
      <x:c r="E29" s="9" t="str">
        <x:v>Đang thực hiện</x:v>
      </x:c>
      <x:c r="F29" s="8" t="str">
        <x:v>test/contracts.ts</x:v>
      </x:c>
      <x:c r="G29" s="10">
        <x:v>46321.0</x:v>
      </x:c>
      <x:c r="H29" s="10">
        <x:v>46341.0</x:v>
      </x:c>
      <x:c r="I29" s="9" t="s">
        <x:v>15</x:v>
      </x:c>
    </x:row>
    <x:row r="30" ht="36" customHeight="1">
      <x:c r="A30" s="7" t="s">
        <x:v>83</x:v>
      </x:c>
      <x:c r="B30" s="8" t="s">
        <x:v>84</x:v>
      </x:c>
      <x:c r="C30" s="8" t="str">
        <x:v>D mở rộng pytest + Web3.py từ smoke test hiện có sang luồng contract, crypto, IPFS và ba vai trò.</x:v>
      </x:c>
      <x:c r="D30" s="8" t="str">
        <x:v>Thành viên D</x:v>
      </x:c>
      <x:c r="E30" s="9" t="str">
        <x:v>Đang thực hiện</x:v>
      </x:c>
      <x:c r="F30" s="8" t="str">
        <x:v>tests/integration/</x:v>
      </x:c>
      <x:c r="G30" s="10">
        <x:v>46335.0</x:v>
      </x:c>
      <x:c r="H30" s="10">
        <x:v>46348.0</x:v>
      </x:c>
      <x:c r="I30" s="9" t="s">
        <x:v>26</x:v>
      </x:c>
    </x:row>
    <x:row r="31" ht="36" customHeight="1">
      <x:c r="A31" s="7" t="s">
        <x:v>85</x:v>
      </x:c>
      <x:c r="B31" s="8" t="s">
        <x:v>86</x:v>
      </x:c>
      <x:c r="C31" s="8" t="str">
        <x:v>D chạy kịch bản demo trên Sepolia sau khi A deploy và C cấu hình; lưu tx hash, ảnh và kết quả thực tế.</x:v>
      </x:c>
      <x:c r="D31" s="8" t="str">
        <x:v>Thành viên D</x:v>
      </x:c>
      <x:c r="E31" s="9" t="str">
        <x:v>Chưa bắt đầu</x:v>
      </x:c>
      <x:c r="F31" s="8" t="str">
        <x:v>Test report Sepolia; tx hash; ảnh minh chứng</x:v>
      </x:c>
      <x:c r="G31" s="10">
        <x:v>46342.0</x:v>
      </x:c>
      <x:c r="H31" s="10">
        <x:v>46348.0</x:v>
      </x:c>
      <x:c r="I31" s="9" t="s">
        <x:v>15</x:v>
      </x:c>
    </x:row>
    <x:row r="32" ht="36" customHeight="1">
      <x:c r="A32" s="7" t="s">
        <x:v>87</x:v>
      </x:c>
      <x:c r="B32" s="8" t="s">
        <x:v>88</x:v>
      </x:c>
      <x:c r="C32" s="8" t="str">
        <x:v>A kiểm tra RBAC/consent contract; B kiểm tra nonce, sai key và ciphertext bị sửa; D tổng hợp test và bằng chứng.</x:v>
      </x:c>
      <x:c r="D32" s="8" t="str">
        <x:v>A + B + D</x:v>
      </x:c>
      <x:c r="E32" s="9" t="str">
        <x:v>Đang thực hiện</x:v>
      </x:c>
      <x:c r="F32" s="8" t="str">
        <x:v>Test bảo mật trong test/ và tests/; kết quả tổng hợp</x:v>
      </x:c>
      <x:c r="G32" s="10">
        <x:v>46342.0</x:v>
      </x:c>
      <x:c r="H32" s="10">
        <x:v>46348.0</x:v>
      </x:c>
      <x:c r="I32" s="9" t="s">
        <x:v>26</x:v>
      </x:c>
    </x:row>
    <x:row r="33" ht="15.75" customHeight="1">
      <x:c r="A33" s="7" t="s">
        <x:v>89</x:v>
      </x:c>
      <x:c r="B33" s="8" t="s">
        <x:v>90</x:v>
      </x:c>
      <x:c r="C33" s="8" t="s">
        <x:v>91</x:v>
      </x:c>
      <x:c r="D33" s="8" t="s">
        <x:v>13</x:v>
      </x:c>
      <x:c r="E33" s="9" t="str">
        <x:v>Chưa bắt đầu</x:v>
      </x:c>
      <x:c r="F33" s="8" t="s">
        <x:v>92</x:v>
      </x:c>
      <x:c r="G33" s="10">
        <x:v>46341.0</x:v>
      </x:c>
      <x:c r="H33" s="10">
        <x:v>46341.0</x:v>
      </x:c>
      <x:c r="I33" s="9" t="s">
        <x:v>26</x:v>
      </x:c>
    </x:row>
    <x:row r="34" ht="15.75" customHeight="1">
      <x:c r="A34" s="7" t="s">
        <x:v>93</x:v>
      </x:c>
      <x:c r="B34" s="8" t="s">
        <x:v>94</x:v>
      </x:c>
      <x:c r="C34" s="8" t="s">
        <x:v>95</x:v>
      </x:c>
      <x:c r="D34" s="8" t="s">
        <x:v>96</x:v>
      </x:c>
      <x:c r="E34" s="9" t="str">
        <x:v>Chưa bắt đầu</x:v>
      </x:c>
      <x:c r="F34" s="8" t="s">
        <x:v>97</x:v>
      </x:c>
      <x:c r="G34" s="10">
        <x:v>46349.0</x:v>
      </x:c>
      <x:c r="H34" s="10">
        <x:v>46351.0</x:v>
      </x:c>
      <x:c r="I34" s="9" t="s">
        <x:v>26</x:v>
      </x:c>
    </x:row>
    <x:row r="35" ht="15.75" customHeight="1">
      <x:c r="A35" s="7" t="s">
        <x:v>98</x:v>
      </x:c>
      <x:c r="B35" s="8" t="s">
        <x:v>99</x:v>
      </x:c>
      <x:c r="C35" s="8" t="s">
        <x:v>100</x:v>
      </x:c>
      <x:c r="D35" s="8" t="s">
        <x:v>13</x:v>
      </x:c>
      <x:c r="E35" s="9" t="str">
        <x:v>Chưa bắt đầu</x:v>
      </x:c>
      <x:c r="F35" s="8" t="s">
        <x:v>101</x:v>
      </x:c>
      <x:c r="G35" s="10">
        <x:v>46349.0</x:v>
      </x:c>
      <x:c r="H35" s="10">
        <x:v>46355.0</x:v>
      </x:c>
      <x:c r="I35" s="9" t="s">
        <x:v>15</x:v>
      </x:c>
    </x:row>
    <x:row r="36" ht="15" customHeight="1">
      <x:c r="A36" s="2" t="s">
        <x:v>102</x:v>
      </x:c>
      <x:c r="B36" s="3"/>
      <x:c r="C36" s="3"/>
      <x:c r="D36" s="4"/>
      <x:c r="E36" s="5" t="str">
        <x:f>IF(COUNTIF(E37:E43,"Đã hoàn thành")=ROWS(E37:E43),"Đã hoàn thành",IF(COUNTIF(E37:E43,"Chưa bắt đầu")=ROWS(E37:E43),"Chưa bắt đầu","Đang thực hiện"))</x:f>
        <x:v>Đang thực hiện</x:v>
      </x:c>
      <x:c r="F36" s="5"/>
      <x:c r="G36" s="6" t="n">
        <x:f>MIN(G37:G43)</x:f>
        <x:v>46314</x:v>
      </x:c>
      <x:c r="H36" s="6" t="n">
        <x:f>MAX(H37:H43)</x:f>
        <x:v>46369</x:v>
      </x:c>
      <x:c r="I36" s="5"/>
    </x:row>
    <x:row r="37" ht="36" customHeight="1">
      <x:c r="A37" s="7" t="s">
        <x:v>103</x:v>
      </x:c>
      <x:c r="B37" s="8" t="s">
        <x:v>104</x:v>
      </x:c>
      <x:c r="C37" s="8" t="str">
        <x:v>A/B/C viết phần kỹ thuật của mảng mình; D hợp nhất theo outline bản 3 và đồng bộ nội dung với code/test thật.</x:v>
      </x:c>
      <x:c r="D37" s="8" t="str">
        <x:v>Cả nhóm (D hợp nhất)</x:v>
      </x:c>
      <x:c r="E37" s="9" t="str">
        <x:v>Đang thực hiện</x:v>
      </x:c>
      <x:c r="F37" s="8" t="str">
        <x:v>Báo cáo Word hoàn chỉnh</x:v>
      </x:c>
      <x:c r="G37" s="10">
        <x:v>46314.0</x:v>
      </x:c>
      <x:c r="H37" s="10">
        <x:v>46362.0</x:v>
      </x:c>
      <x:c r="I37" s="9" t="s">
        <x:v>15</x:v>
      </x:c>
    </x:row>
    <x:row r="38" ht="15.75" customHeight="1">
      <x:c r="A38" s="7" t="s">
        <x:v>105</x:v>
      </x:c>
      <x:c r="B38" s="8" t="s">
        <x:v>106</x:v>
      </x:c>
      <x:c r="C38" s="8" t="s">
        <x:v>107</x:v>
      </x:c>
      <x:c r="D38" s="8" t="s">
        <x:v>96</x:v>
      </x:c>
      <x:c r="E38" s="9" t="str">
        <x:v>Chưa bắt đầu</x:v>
      </x:c>
      <x:c r="F38" s="8" t="s">
        <x:v>108</x:v>
      </x:c>
      <x:c r="G38" s="10">
        <x:v>46349.0</x:v>
      </x:c>
      <x:c r="H38" s="10">
        <x:v>46362.0</x:v>
      </x:c>
      <x:c r="I38" s="9" t="s">
        <x:v>15</x:v>
      </x:c>
    </x:row>
    <x:row r="39" ht="36" customHeight="1">
      <x:c r="A39" s="7" t="s">
        <x:v>109</x:v>
      </x:c>
      <x:c r="B39" s="8" t="s">
        <x:v>110</x:v>
      </x:c>
      <x:c r="C39" s="8" t="str">
        <x:v>C quay luồng demo; D kiểm tra caption, nội dung và bằng chứng khớp với phiên bản code cuối.</x:v>
      </x:c>
      <x:c r="D39" s="8" t="str">
        <x:v>Thành viên C + D</x:v>
      </x:c>
      <x:c r="E39" s="9" t="str">
        <x:v>Chưa bắt đầu</x:v>
      </x:c>
      <x:c r="F39" s="8" t="str">
        <x:v>Video demo có caption</x:v>
      </x:c>
      <x:c r="G39" s="10">
        <x:v>46356.0</x:v>
      </x:c>
      <x:c r="H39" s="10">
        <x:v>46362.0</x:v>
      </x:c>
      <x:c r="I39" s="9" t="s">
        <x:v>26</x:v>
      </x:c>
    </x:row>
    <x:row r="40" ht="15.75" customHeight="1">
      <x:c r="A40" s="7" t="s">
        <x:v>111</x:v>
      </x:c>
      <x:c r="B40" s="8" t="s">
        <x:v>112</x:v>
      </x:c>
      <x:c r="C40" s="8" t="s">
        <x:v>113</x:v>
      </x:c>
      <x:c r="D40" s="8" t="s">
        <x:v>96</x:v>
      </x:c>
      <x:c r="E40" s="9" t="str">
        <x:v>Chưa bắt đầu</x:v>
      </x:c>
      <x:c r="F40" s="8" t="s">
        <x:v>114</x:v>
      </x:c>
      <x:c r="G40" s="10">
        <x:v>46356.0</x:v>
      </x:c>
      <x:c r="H40" s="10">
        <x:v>46362.0</x:v>
      </x:c>
      <x:c r="I40" s="9" t="s">
        <x:v>15</x:v>
      </x:c>
    </x:row>
    <x:row r="41" ht="36" customHeight="1">
      <x:c r="A41" s="7" t="s">
        <x:v>115</x:v>
      </x:c>
      <x:c r="B41" s="8" t="s">
        <x:v>116</x:v>
      </x:c>
      <x:c r="C41" s="8" t="str">
        <x:v>D chủ trì README, cấu trúc docs và checklist nộp; A/B/C xác nhận hướng dẫn phần mình chạy đúng.</x:v>
      </x:c>
      <x:c r="D41" s="8" t="str">
        <x:v>Thành viên D (A/B/C xác nhận)</x:v>
      </x:c>
      <x:c r="E41" s="9" t="str">
        <x:v>Đang thực hiện</x:v>
      </x:c>
      <x:c r="F41" s="8" t="str">
        <x:v>README.md; TEAM_HANDOFF.md; docs/; repository hoàn chỉnh</x:v>
      </x:c>
      <x:c r="G41" s="10">
        <x:v>46356.0</x:v>
      </x:c>
      <x:c r="H41" s="10">
        <x:v>46362.0</x:v>
      </x:c>
      <x:c r="I41" s="9" t="s">
        <x:v>26</x:v>
      </x:c>
    </x:row>
    <x:row r="42" ht="15.75" customHeight="1">
      <x:c r="A42" s="7" t="s">
        <x:v>117</x:v>
      </x:c>
      <x:c r="B42" s="8" t="s">
        <x:v>118</x:v>
      </x:c>
      <x:c r="C42" s="8" t="s">
        <x:v>119</x:v>
      </x:c>
      <x:c r="D42" s="8" t="s">
        <x:v>13</x:v>
      </x:c>
      <x:c r="E42" s="9" t="str">
        <x:v>Chưa bắt đầu</x:v>
      </x:c>
      <x:c r="F42" s="8" t="s">
        <x:v>120</x:v>
      </x:c>
      <x:c r="G42" s="10">
        <x:v>46363.0</x:v>
      </x:c>
      <x:c r="H42" s="10">
        <x:v>46368.0</x:v>
      </x:c>
      <x:c r="I42" s="9" t="s">
        <x:v>15</x:v>
      </x:c>
    </x:row>
    <x:row r="43" ht="15.75" customHeight="1">
      <x:c r="A43" s="7" t="s">
        <x:v>121</x:v>
      </x:c>
      <x:c r="B43" s="8" t="s">
        <x:v>122</x:v>
      </x:c>
      <x:c r="C43" s="8" t="s">
        <x:v>123</x:v>
      </x:c>
      <x:c r="D43" s="8" t="s">
        <x:v>13</x:v>
      </x:c>
      <x:c r="E43" s="9" t="str">
        <x:v>Chưa bắt đầu</x:v>
      </x:c>
      <x:c r="F43" s="8" t="s">
        <x:v>124</x:v>
      </x:c>
      <x:c r="G43" s="10">
        <x:v>46369.0</x:v>
      </x:c>
      <x:c r="H43" s="10">
        <x:v>46369.0</x:v>
      </x:c>
      <x:c r="I43" s="9" t="s">
        <x:v>15</x:v>
      </x:c>
    </x:row>
    <x:row r="44" ht="15.75" customHeight="1"/>
    <x:row r="45" ht="15" customHeight="1">
      <x:c r="A45" s="11" t="s">
        <x:v>125</x:v>
      </x:c>
    </x:row>
    <x:row r="46" ht="30" customHeight="1">
      <x:c r="A46" s="12" t="s">
        <x:v>126</x:v>
      </x:c>
    </x:row>
    <x:row r="47" ht="30" customHeight="1">
      <x:c r="A47" s="12" t="s">
        <x:v>127</x:v>
      </x:c>
    </x:row>
    <x:row r="48" ht="30" customHeight="1">
      <x:c r="A48" s="12" t="str">
        <x:v>- Trạng thái đã được đối chiếu với repository ngày 26/10/2026. Dòng Phase được tính tự động; chỉ sửa trạng thái ở các dòng công việc.</x:v>
      </x:c>
    </x:row>
    <x:row r="49" ht="30" customHeight="1">
      <x:c r="A49" s="12" t="str">
        <x:v>- Phân công chi tiết A/B/C/D và mốc bàn giao được tổng hợp tại sheet Phân công nhóm, đồng bộ với TEAM_HANDOFF.md.</x:v>
      </x:c>
    </x:row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47:I47"/>
    <x:mergeCell ref="A48:I48"/>
    <x:mergeCell ref="A49:I49"/>
    <x:mergeCell ref="A2:D2"/>
    <x:mergeCell ref="A7:D7"/>
    <x:mergeCell ref="A16:D16"/>
    <x:mergeCell ref="A27:D27"/>
    <x:mergeCell ref="A36:D36"/>
    <x:mergeCell ref="A45:I45"/>
    <x:mergeCell ref="A46:I46"/>
  </x:mergeCells>
  <x:conditionalFormatting sqref="E2:E43">
    <x:cfRule type="cellIs" dxfId="0" priority="1" operator="equal">
      <x:formula>"Đã hoàn thành"</x:formula>
    </x:cfRule>
  </x:conditionalFormatting>
  <x:conditionalFormatting sqref="E2:E43">
    <x:cfRule type="cellIs" dxfId="1" priority="2" operator="equal">
      <x:formula>"Đang thực hiện"</x:formula>
    </x:cfRule>
  </x:conditionalFormatting>
  <x:conditionalFormatting sqref="E2:E43">
    <x:cfRule type="cellIs" dxfId="2" priority="3" operator="equal">
      <x:formula>"Chưa bắt đầu"</x:formula>
    </x:cfRule>
  </x:conditionalFormatting>
  <x:conditionalFormatting sqref="I2:I43">
    <x:cfRule type="cellIs" dxfId="3" priority="4" operator="equal">
      <x:formula>"Cao"</x:formula>
    </x:cfRule>
  </x:conditionalFormatting>
  <x:conditionalFormatting sqref="I2:I43">
    <x:cfRule type="cellIs" dxfId="4" priority="5" operator="equal">
      <x:formula>"Trung bình"</x:formula>
    </x:cfRule>
  </x:conditionalFormatting>
  <x:conditionalFormatting sqref="I2:I43">
    <x:cfRule type="cellIs" dxfId="1" priority="6" operator="equal">
      <x:formula>"Thấp"</x:formula>
    </x:cfRule>
  </x:conditionalFormatting>
  <x:dataValidations count="2">
    <x:dataValidation type="list" allowBlank="1" sqref="I3:I6 I8:I15 I17:I26 I28:I35 I37:I43">
      <x:formula1>"Cao,Trung bình,Thấp"</x:formula1>
    </x:dataValidation>
    <x:dataValidation type="list" allowBlank="1" sqref="E3:E6 E8:E15 E17:E26 E28:E35 E37:E43">
      <x:formula1>"Chưa bắt đầu,Đang thực hiện,Đã hoàn thành"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5" hidden="0" customWidth="1"/>
    <x:col min="4" max="4" width="34" hidden="0" customWidth="1"/>
    <x:col min="5" max="5" width="42" hidden="0" customWidth="1"/>
    <x:col min="6" max="6" width="38" hidden="0" customWidth="1"/>
    <x:col min="7" max="7" width="25" hidden="0" customWidth="1"/>
  </x:cols>
  <x:sheetData>
    <x:row r="1" ht="27" customHeight="1">
      <x:c r="A1" s="19" t="str">
        <x:v>PHÂN CÔNG PHÁT TRIỂN SONG SONG — ETHEREUM SSI MVP</x:v>
      </x:c>
      <x:c r="B1" s="19"/>
      <x:c r="C1" s="19"/>
      <x:c r="D1" s="19"/>
      <x:c r="E1" s="19"/>
      <x:c r="F1" s="19"/>
      <x:c r="G1" s="19"/>
    </x:row>
    <x:row r="2" ht="21" customHeight="1">
      <x:c r="A2" s="21" t="str">
        <x:v>Căn cứ: interfaces.md FROZEN v1 và TEAM_HANDOFF.md · Cập nhật 26/10/2026</x:v>
      </x:c>
      <x:c r="B2" s="21"/>
      <x:c r="C2" s="21"/>
      <x:c r="D2" s="21"/>
      <x:c r="E2" s="21"/>
      <x:c r="F2" s="21"/>
      <x:c r="G2" s="21"/>
    </x:row>
    <x:row r="3">
      <x:c r="A3" s="16"/>
      <x:c r="B3" s="16"/>
      <x:c r="C3" s="16"/>
      <x:c r="D3" s="16"/>
      <x:c r="E3" s="16"/>
      <x:c r="F3" s="16"/>
      <x:c r="G3" s="16"/>
    </x:row>
    <x:row r="4" ht="36" customHeight="1">
      <x:c r="A4" s="24" t="str">
        <x:v>Mã</x:v>
      </x:c>
      <x:c r="B4" s="24" t="str">
        <x:v>Phụ trách chính</x:v>
      </x:c>
      <x:c r="C4" s="24" t="str">
        <x:v>Thư mục</x:v>
      </x:c>
      <x:c r="D4" s="24" t="str">
        <x:v>Đã có trong repository</x:v>
      </x:c>
      <x:c r="E4" s="24" t="str">
        <x:v>Việc tiếp theo</x:v>
      </x:c>
      <x:c r="F4" s="24" t="str">
        <x:v>Hoàn thành khi</x:v>
      </x:c>
      <x:c r="G4" s="24" t="str">
        <x:v>Nhánh đề xuất</x:v>
      </x:c>
    </x:row>
    <x:row r="5" ht="78" customHeight="1">
      <x:c r="A5" s="38" t="str">
        <x:v>A</x:v>
      </x:c>
      <x:c r="B5" s="16" t="str">
        <x:v>Smart contract</x:v>
      </x:c>
      <x:c r="C5" s="16" t="str">
        <x:v>contracts/; scripts/; test/</x:v>
      </x:c>
      <x:c r="D5" s="16" t="str">
        <x:v>3 contract, deploy/role scripts, 2 Hardhat tests</x:v>
      </x:c>
      <x:c r="E5" s="16" t="str">
        <x:v>Bổ sung test biên; deploy/cấp role Sepolia; bàn giao artifact và address</x:v>
      </x:c>
      <x:c r="F5" s="16" t="str">
        <x:v>Test đạt; có address/tx hash; ABI FROZEN v1 không đổi</x:v>
      </x:c>
      <x:c r="G5" s="16" t="str">
        <x:v>feature/a-contracts</x:v>
      </x:c>
    </x:row>
    <x:row r="6" ht="78" customHeight="1">
      <x:c r="A6" s="39" t="str">
        <x:v>B</x:v>
      </x:c>
      <x:c r="B6" s="16" t="str">
        <x:v>Crypto và IPFS</x:v>
      </x:c>
      <x:c r="C6" s="16" t="str">
        <x:v>crypto/; ipfs/; tests/unit/</x:v>
      </x:c>
      <x:c r="D6" s="16" t="str">
        <x:v>AES-GCM, RSA-OAEP, Kubo client, 2 unit tests</x:v>
      </x:c>
      <x:c r="E6" s="16" t="str">
        <x:v>Round-trip 3 file .enc; hash docHash; test sai key/tamper/Kubo lỗi</x:v>
      </x:c>
      <x:c r="F6" s="16" t="str">
        <x:v>3 file round-trip; hash khớp; không lộ khóa/file gốc</x:v>
      </x:c>
      <x:c r="G6" s="16" t="str">
        <x:v>feature/b-crypto-ipfs</x:v>
      </x:c>
    </x:row>
    <x:row r="7" ht="78" customHeight="1">
      <x:c r="A7" s="40" t="str">
        <x:v>C</x:v>
      </x:c>
      <x:c r="B7" s="16" t="str">
        <x:v>Web3.py và dashboard</x:v>
      </x:c>
      <x:c r="C7" s="16" t="str">
        <x:v>web3_client/; app/</x:v>
      </x:c>
      <x:c r="D7" s="16" t="str">
        <x:v>Web3 client cơ bản và 3 dashboard scaffold</x:v>
      </x:c>
      <x:c r="E7" s="16" t="str">
        <x:v>Wrapper ABI; nối giao dịch thật; trạng thái/tx hash/lỗi; local→Sepolia</x:v>
      </x:c>
      <x:c r="F7" s="16" t="str">
        <x:v>Ba dashboard chạy local end-to-end và đổi mạng bằng .env</x:v>
      </x:c>
      <x:c r="G7" s="16" t="str">
        <x:v>feature/c-web3-ui</x:v>
      </x:c>
    </x:row>
    <x:row r="8" ht="78" customHeight="1">
      <x:c r="A8" s="41" t="str">
        <x:v>D</x:v>
      </x:c>
      <x:c r="B8" s="16" t="str">
        <x:v>Kiểm thử và tài liệu</x:v>
      </x:c>
      <x:c r="C8" s="16" t="str">
        <x:v>test/; tests/; docs/</x:v>
      </x:c>
      <x:c r="D8" s="16" t="str">
        <x:v>Test plan, smoke integration, README và tài liệu bàn giao</x:v>
      </x:c>
      <x:c r="E8" s="16" t="str">
        <x:v>Mở rộng test consent/crypto/IPFS/Sepolia; test report; báo cáo/slide/checklist</x:v>
      </x:c>
      <x:c r="F8" s="16" t="str">
        <x:v>Test report tái chạy được; WBS và tài liệu khớp code</x:v>
      </x:c>
      <x:c r="G8" s="16" t="str">
        <x:v>test/d-integration-docs</x:v>
      </x:c>
    </x:row>
    <x:row r="9">
      <x:c r="A9" s="16"/>
      <x:c r="B9" s="16"/>
      <x:c r="C9" s="16"/>
      <x:c r="D9" s="16"/>
      <x:c r="E9" s="16"/>
      <x:c r="F9" s="16"/>
      <x:c r="G9" s="16"/>
    </x:row>
    <x:row r="10" ht="24" customHeight="1">
      <x:c r="A10" s="27" t="str">
        <x:v>Mốc ghép sản phẩm — không phải quan hệ chờ</x:v>
      </x:c>
      <x:c r="B10" s="27"/>
      <x:c r="C10" s="27"/>
      <x:c r="D10" s="27"/>
      <x:c r="E10" s="27"/>
      <x:c r="F10" s="27"/>
      <x:c r="G10" s="27"/>
    </x:row>
    <x:row r="11" ht="32" customHeight="1">
      <x:c r="A11" s="30" t="str">
        <x:v>Mốc</x:v>
      </x:c>
      <x:c r="B11" s="30" t="str">
        <x:v>A bàn giao</x:v>
      </x:c>
      <x:c r="C11" s="30" t="str">
        <x:v>B bàn giao</x:v>
      </x:c>
      <x:c r="D11" s="30" t="str">
        <x:v>C thực hiện</x:v>
      </x:c>
      <x:c r="E11" s="30" t="str">
        <x:v>D xác nhận</x:v>
      </x:c>
      <x:c r="F11" s="30" t="str">
        <x:v>Kết quả</x:v>
      </x:c>
      <x:c r="G11" s="30" t="str">
        <x:v>Trạng thái</x:v>
      </x:c>
    </x:row>
    <x:row r="12" ht="60" customHeight="1">
      <x:c r="A12" s="16" t="str">
        <x:v>Local integration</x:v>
      </x:c>
      <x:c r="B12" s="16" t="str">
        <x:v>Artifact sau compile</x:v>
      </x:c>
      <x:c r="C12" s="16" t="str">
        <x:v>API crypto/IPFS ổn định</x:v>
      </x:c>
      <x:c r="D12" s="16" t="str">
        <x:v>Nối dashboard với module thật</x:v>
      </x:c>
      <x:c r="E12" s="16" t="str">
        <x:v>Chạy test toàn luồng</x:v>
      </x:c>
      <x:c r="F12" s="16" t="str">
        <x:v>Demo local 12 chức năng</x:v>
      </x:c>
      <x:c r="G12" s="31" t="str">
        <x:v>Đang thực hiện</x:v>
      </x:c>
    </x:row>
    <x:row r="13" ht="60" customHeight="1">
      <x:c r="A13" s="16" t="str">
        <x:v>Sepolia</x:v>
      </x:c>
      <x:c r="B13" s="16" t="str">
        <x:v>Contract address, role, tx hash</x:v>
      </x:c>
      <x:c r="C13" s="16" t="str">
        <x:v>Không thay đổi format đã khóa</x:v>
      </x:c>
      <x:c r="D13" s="16" t="str">
        <x:v>Cấu hình RPC/address bằng .env</x:v>
      </x:c>
      <x:c r="E13" s="16" t="str">
        <x:v>Smoke test và lưu bằng chứng</x:v>
      </x:c>
      <x:c r="F13" s="16" t="str">
        <x:v>Bộ bằng chứng Sepolia</x:v>
      </x:c>
      <x:c r="G13" s="42" t="str">
        <x:v>Chưa bắt đầu</x:v>
      </x:c>
    </x:row>
    <x:row r="14" ht="60" customHeight="1">
      <x:c r="A14" s="16" t="str">
        <x:v>Nghiệm thu</x:v>
      </x:c>
      <x:c r="B14" s="16" t="str">
        <x:v>Xác nhận phần contract</x:v>
      </x:c>
      <x:c r="C14" s="16" t="str">
        <x:v>Xác nhận crypto/IPFS</x:v>
      </x:c>
      <x:c r="D14" s="16" t="str">
        <x:v>Ảnh và video demo</x:v>
      </x:c>
      <x:c r="E14" s="16" t="str">
        <x:v>Hợp nhất báo cáo, slide, checklist</x:v>
      </x:c>
      <x:c r="F14" s="16" t="str">
        <x:v>Bộ hồ sơ nộp</x:v>
      </x:c>
      <x:c r="G14" s="42" t="str">
        <x:v>Chưa bắt đầu</x:v>
      </x:c>
    </x:row>
    <x:row r="15">
      <x:c r="A15" s="16"/>
      <x:c r="B15" s="16"/>
      <x:c r="C15" s="16"/>
      <x:c r="D15" s="16"/>
      <x:c r="E15" s="16"/>
      <x:c r="F15" s="16"/>
      <x:c r="G15" s="16"/>
    </x:row>
    <x:row r="16" ht="44" customHeight="1">
      <x:c r="A16" s="33" t="str">
        <x:v>Nguyên tắc: cả bốn người bắt đầu song song. Chỉ thay đổi interfaces.md mới cần cập nhật đồng bộ contract, Python, test và tài liệu qua Pull Request.</x:v>
      </x:c>
      <x:c r="B16" s="33"/>
      <x:c r="C16" s="33"/>
      <x:c r="D16" s="33"/>
      <x:c r="E16" s="33"/>
      <x:c r="F16" s="33"/>
      <x:c r="G16" s="33"/>
    </x:row>
  </x:sheetData>
  <x:mergeCells>
    <x:mergeCell ref="A1:G1"/>
    <x:mergeCell ref="A2:G2"/>
    <x:mergeCell ref="A10:G10"/>
    <x:mergeCell ref="A16:G16"/>
  </x:mergeCells>
  <x:pageMargins left="0.7" right="0.7" top="0.75" bottom="0.75" header="0.3" footer="0.3"/>
</x:worksheet>
</file>